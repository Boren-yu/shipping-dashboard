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7"/>
  <workbookPr codeName="ThisWorkbook" hidePivotFieldList="1"/>
  <mc:AlternateContent xmlns:mc="http://schemas.openxmlformats.org/markup-compatibility/2006">
    <mc:Choice Requires="x15">
      <x15ac:absPath xmlns:x15ac="http://schemas.microsoft.com/office/spreadsheetml/2010/11/ac" url="/Users/borenyu/Desktop/"/>
    </mc:Choice>
  </mc:AlternateContent>
  <xr:revisionPtr revIDLastSave="0" documentId="13_ncr:1_{41BDDB73-BA8A-3A45-A7C9-5482E88C4819}" xr6:coauthVersionLast="47" xr6:coauthVersionMax="47" xr10:uidLastSave="{00000000-0000-0000-0000-000000000000}"/>
  <bookViews>
    <workbookView xWindow="0" yWindow="500" windowWidth="28800" windowHeight="15880" firstSheet="4" activeTab="12" xr2:uid="{00000000-000D-0000-FFFF-FFFF00000000}"/>
  </bookViews>
  <sheets>
    <sheet name="25.Q2" sheetId="6" r:id="rId1"/>
    <sheet name="25.7-8月" sheetId="1" r:id="rId2"/>
    <sheet name="25.9月" sheetId="5" r:id="rId3"/>
    <sheet name="25.10月" sheetId="7" r:id="rId4"/>
    <sheet name="25.11月" sheetId="11" r:id="rId5"/>
    <sheet name="25.12月" sheetId="15" r:id="rId6"/>
    <sheet name="26.1月" sheetId="16" r:id="rId7"/>
    <sheet name="26.2月" sheetId="17" r:id="rId8"/>
    <sheet name="26.3月" sheetId="19" r:id="rId9"/>
    <sheet name="26.3.30-4.12" sheetId="39" r:id="rId10"/>
    <sheet name="26.4.13-4.26" sheetId="40" r:id="rId11"/>
    <sheet name="26.5月" sheetId="27" r:id="rId12"/>
    <sheet name="26.6月" sheetId="44" r:id="rId13"/>
    <sheet name="招标需求" sheetId="18" r:id="rId14"/>
    <sheet name="_Backup_5月" sheetId="29" state="hidden" r:id="rId15"/>
    <sheet name="_Backup_6月" sheetId="30" state="hidden" r:id="rId16"/>
    <sheet name="_Backup_1月" sheetId="31" state="hidden" r:id="rId17"/>
    <sheet name="_Backup_2月" sheetId="33" state="hidden" r:id="rId18"/>
    <sheet name="_Backup_3月" sheetId="34" state="hidden" r:id="rId19"/>
    <sheet name="_Backup_9月" sheetId="35" state="hidden" r:id="rId20"/>
    <sheet name="_Backup_10月" sheetId="36" state="hidden" r:id="rId21"/>
    <sheet name="_Backup_7-8月" sheetId="37" state="hidden" r:id="rId22"/>
    <sheet name="环比分析" sheetId="46" r:id="rId23"/>
    <sheet name="_Backup_Q2" sheetId="38" state="hidden" r:id="rId24"/>
  </sheets>
  <externalReferences>
    <externalReference r:id="rId25"/>
  </externalReferences>
  <definedNames>
    <definedName name="_xlnm._FilterDatabase" localSheetId="4" hidden="1">'25.11月'!$A$2:$R$2</definedName>
    <definedName name="_xlnm._FilterDatabase" localSheetId="1" hidden="1">'25.7-8月'!$A$2:$W$30</definedName>
    <definedName name="_xlnm._FilterDatabase" localSheetId="2" hidden="1">'25.9月'!$A$2:$T$2</definedName>
    <definedName name="_xlnm._FilterDatabase" localSheetId="0" hidden="1">'25.Q2'!$A$3:$V$23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46" l="1"/>
  <c r="C66" i="46"/>
  <c r="D66" i="46"/>
  <c r="E66" i="46"/>
  <c r="F66" i="46"/>
  <c r="G66" i="46"/>
  <c r="H66" i="46"/>
  <c r="I66" i="46"/>
  <c r="J66" i="46"/>
  <c r="K66" i="46"/>
  <c r="L66" i="46"/>
  <c r="M66" i="46"/>
  <c r="B65" i="46"/>
  <c r="C65" i="46"/>
  <c r="D65" i="46"/>
  <c r="E65" i="46"/>
  <c r="F65" i="46"/>
  <c r="G65" i="46"/>
  <c r="H65" i="46"/>
  <c r="I65" i="46"/>
  <c r="J65" i="46"/>
  <c r="K65" i="46"/>
  <c r="L65" i="46"/>
  <c r="M65" i="46"/>
  <c r="B63" i="46"/>
  <c r="C63" i="46"/>
  <c r="D63" i="46"/>
  <c r="E63" i="46"/>
  <c r="F63" i="46"/>
  <c r="G63" i="46"/>
  <c r="H63" i="46"/>
  <c r="I63" i="46"/>
  <c r="J63" i="46"/>
  <c r="K63" i="46"/>
  <c r="L63" i="46"/>
  <c r="M63" i="46"/>
  <c r="N42" i="46"/>
  <c r="M42" i="46"/>
  <c r="J42" i="46"/>
  <c r="I42" i="46"/>
  <c r="H42" i="46"/>
  <c r="G42" i="46"/>
  <c r="F42" i="46"/>
  <c r="E42" i="46"/>
  <c r="D42" i="46"/>
  <c r="C42" i="46"/>
  <c r="N41" i="46"/>
  <c r="M41" i="46"/>
  <c r="J41" i="46"/>
  <c r="I41" i="46"/>
  <c r="H41" i="46"/>
  <c r="G41" i="46"/>
  <c r="F41" i="46"/>
  <c r="E41" i="46"/>
  <c r="D41" i="46"/>
  <c r="C41" i="46"/>
  <c r="N38" i="46"/>
  <c r="M38" i="46"/>
  <c r="J38" i="46"/>
  <c r="I38" i="46"/>
  <c r="H38" i="46"/>
  <c r="N37" i="46"/>
  <c r="M37" i="46"/>
  <c r="L37" i="46"/>
  <c r="K37" i="46"/>
  <c r="J37" i="46"/>
  <c r="I37" i="46"/>
  <c r="H37" i="46"/>
  <c r="G37" i="46"/>
  <c r="F37" i="46"/>
  <c r="E37" i="46"/>
  <c r="D37" i="46"/>
  <c r="C37" i="46"/>
  <c r="N36" i="46"/>
  <c r="M36" i="46"/>
  <c r="J36" i="46"/>
  <c r="I36" i="46"/>
  <c r="H36" i="46"/>
  <c r="G36" i="46"/>
  <c r="F36" i="46"/>
  <c r="E36" i="46"/>
  <c r="D36" i="46"/>
  <c r="C36" i="46"/>
  <c r="N35" i="46"/>
  <c r="M35" i="46"/>
  <c r="J35" i="46"/>
  <c r="I35" i="46"/>
  <c r="H35" i="46"/>
  <c r="G35" i="46"/>
  <c r="F35" i="46"/>
  <c r="E35" i="46"/>
  <c r="D35" i="46"/>
  <c r="C35" i="46"/>
  <c r="N34" i="46"/>
  <c r="M34" i="46"/>
  <c r="J34" i="46"/>
  <c r="I34" i="46"/>
  <c r="H34" i="46"/>
  <c r="G34" i="46"/>
  <c r="F34" i="46"/>
  <c r="E34" i="46"/>
  <c r="D34" i="46"/>
  <c r="N33" i="46"/>
  <c r="M33" i="46"/>
  <c r="J33" i="46"/>
  <c r="I33" i="46"/>
  <c r="H33" i="46"/>
  <c r="G33" i="46"/>
  <c r="F33" i="46"/>
  <c r="E33" i="46"/>
  <c r="D33" i="46"/>
  <c r="C33" i="46"/>
  <c r="N32" i="46"/>
  <c r="M32" i="46"/>
  <c r="J32" i="46"/>
  <c r="I32" i="46"/>
  <c r="H32" i="46"/>
  <c r="G32" i="46"/>
  <c r="F32" i="46"/>
  <c r="E32" i="46"/>
  <c r="D32" i="46"/>
  <c r="C32" i="46"/>
  <c r="N29" i="46"/>
  <c r="M29" i="46"/>
  <c r="J29" i="46"/>
  <c r="I29" i="46"/>
  <c r="H29" i="46"/>
  <c r="G29" i="46"/>
  <c r="F29" i="46"/>
  <c r="E29" i="46"/>
  <c r="D29" i="46"/>
  <c r="C29" i="46"/>
  <c r="N28" i="46"/>
  <c r="M28" i="46"/>
  <c r="J28" i="46"/>
  <c r="I28" i="46"/>
  <c r="H28" i="46"/>
  <c r="G28" i="46"/>
  <c r="F28" i="46"/>
  <c r="E28" i="46"/>
  <c r="D28" i="46"/>
  <c r="C28" i="46"/>
  <c r="N27" i="46"/>
  <c r="M27" i="46"/>
  <c r="J27" i="46"/>
  <c r="I27" i="46"/>
  <c r="H27" i="46"/>
  <c r="G27" i="46"/>
  <c r="F27" i="46"/>
  <c r="E27" i="46"/>
  <c r="D27" i="46"/>
  <c r="C27" i="46"/>
  <c r="N26" i="46"/>
  <c r="M26" i="46"/>
  <c r="J26" i="46"/>
  <c r="I26" i="46"/>
  <c r="H26" i="46"/>
  <c r="G26" i="46"/>
  <c r="F26" i="46"/>
  <c r="E26" i="46"/>
  <c r="D26" i="46"/>
  <c r="C26" i="46"/>
  <c r="N23" i="46"/>
  <c r="M23" i="46"/>
  <c r="J23" i="46"/>
  <c r="I23" i="46"/>
  <c r="H23" i="46"/>
  <c r="G23" i="46"/>
  <c r="F23" i="46"/>
  <c r="E23" i="46"/>
  <c r="D23" i="46"/>
  <c r="N22" i="46"/>
  <c r="M22" i="46"/>
  <c r="J22" i="46"/>
  <c r="I22" i="46"/>
  <c r="H22" i="46"/>
  <c r="G22" i="46"/>
  <c r="F22" i="46"/>
  <c r="E22" i="46"/>
  <c r="D22" i="46"/>
  <c r="N21" i="46"/>
  <c r="M21" i="46"/>
  <c r="J21" i="46"/>
  <c r="I21" i="46"/>
  <c r="H21" i="46"/>
  <c r="G21" i="46"/>
  <c r="F21" i="46"/>
  <c r="E21" i="46"/>
  <c r="D21" i="46"/>
  <c r="C21" i="46"/>
  <c r="N20" i="46"/>
  <c r="M20" i="46"/>
  <c r="J20" i="46"/>
  <c r="I20" i="46"/>
  <c r="H20" i="46"/>
  <c r="G20" i="46"/>
  <c r="F20" i="46"/>
  <c r="E20" i="46"/>
  <c r="D20" i="46"/>
  <c r="C20" i="46"/>
  <c r="N17" i="46"/>
  <c r="M17" i="46"/>
  <c r="J17" i="46"/>
  <c r="I17" i="46"/>
  <c r="H17" i="46"/>
  <c r="G17" i="46"/>
  <c r="F17" i="46"/>
  <c r="E17" i="46"/>
  <c r="D17" i="46"/>
  <c r="C17" i="46"/>
  <c r="N16" i="46"/>
  <c r="M16" i="46"/>
  <c r="J16" i="46"/>
  <c r="I16" i="46"/>
  <c r="H16" i="46"/>
  <c r="G16" i="46"/>
  <c r="F16" i="46"/>
  <c r="E16" i="46"/>
  <c r="D16" i="46"/>
  <c r="C16" i="46"/>
  <c r="N15" i="46"/>
  <c r="M15" i="46"/>
  <c r="J15" i="46"/>
  <c r="I15" i="46"/>
  <c r="H15" i="46"/>
  <c r="G15" i="46"/>
  <c r="F15" i="46"/>
  <c r="E15" i="46"/>
  <c r="D15" i="46"/>
  <c r="C15" i="46"/>
  <c r="N14" i="46"/>
  <c r="M14" i="46"/>
  <c r="J14" i="46"/>
  <c r="I14" i="46"/>
  <c r="H14" i="46"/>
  <c r="G14" i="46"/>
  <c r="F14" i="46"/>
  <c r="E14" i="46"/>
  <c r="D14" i="46"/>
  <c r="C14" i="46"/>
  <c r="N13" i="46"/>
  <c r="M13" i="46"/>
  <c r="J13" i="46"/>
  <c r="I13" i="46"/>
  <c r="H13" i="46"/>
  <c r="G13" i="46"/>
  <c r="F13" i="46"/>
  <c r="E13" i="46"/>
  <c r="D13" i="46"/>
  <c r="C13" i="46"/>
  <c r="N10" i="46"/>
  <c r="M10" i="46"/>
  <c r="L10" i="46"/>
  <c r="K10" i="46"/>
  <c r="J10" i="46"/>
  <c r="I10" i="46"/>
  <c r="H10" i="46"/>
  <c r="G10" i="46"/>
  <c r="F10" i="46"/>
  <c r="E10" i="46"/>
  <c r="D10" i="46"/>
  <c r="C10" i="46"/>
  <c r="N9" i="46"/>
  <c r="M9" i="46"/>
  <c r="L9" i="46"/>
  <c r="K9" i="46"/>
  <c r="J9" i="46"/>
  <c r="I9" i="46"/>
  <c r="H9" i="46"/>
  <c r="G9" i="46"/>
  <c r="F9" i="46"/>
  <c r="E9" i="46"/>
  <c r="D9" i="46"/>
  <c r="C9" i="46"/>
  <c r="N41" i="44"/>
  <c r="R41" i="44" s="1"/>
  <c r="N40" i="44"/>
  <c r="R40" i="44" s="1"/>
  <c r="N39" i="44"/>
  <c r="R39" i="44" s="1"/>
  <c r="N37" i="44"/>
  <c r="R37" i="44" s="1"/>
  <c r="N36" i="44"/>
  <c r="R36" i="44" s="1"/>
  <c r="N35" i="44"/>
  <c r="R35" i="44" s="1"/>
  <c r="R34" i="44"/>
  <c r="N34" i="44"/>
  <c r="N33" i="44"/>
  <c r="R33" i="44" s="1"/>
  <c r="N31" i="44"/>
  <c r="R31" i="44" s="1"/>
  <c r="N30" i="44"/>
  <c r="R30" i="44" s="1"/>
  <c r="R28" i="44"/>
  <c r="N28" i="44"/>
  <c r="N27" i="44"/>
  <c r="R27" i="44" s="1"/>
  <c r="N26" i="44"/>
  <c r="R26" i="44" s="1"/>
  <c r="N25" i="44"/>
  <c r="R25" i="44" s="1"/>
  <c r="R24" i="44"/>
  <c r="N24" i="44"/>
  <c r="N22" i="44"/>
  <c r="R22" i="44" s="1"/>
  <c r="N21" i="44"/>
  <c r="R21" i="44" s="1"/>
  <c r="N20" i="44"/>
  <c r="R20" i="44" s="1"/>
  <c r="N19" i="44"/>
  <c r="R19" i="44" s="1"/>
  <c r="N18" i="44"/>
  <c r="R18" i="44" s="1"/>
  <c r="N17" i="44"/>
  <c r="R17" i="44" s="1"/>
  <c r="N16" i="44"/>
  <c r="R16" i="44" s="1"/>
  <c r="N15" i="44"/>
  <c r="R15" i="44" s="1"/>
  <c r="N14" i="44"/>
  <c r="R14" i="44" s="1"/>
  <c r="N13" i="44"/>
  <c r="R13" i="44" s="1"/>
  <c r="N12" i="44"/>
  <c r="R12" i="44" s="1"/>
  <c r="N11" i="44"/>
  <c r="R11" i="44" s="1"/>
  <c r="N10" i="44"/>
  <c r="R10" i="44" s="1"/>
  <c r="N9" i="44"/>
  <c r="R9" i="44" s="1"/>
  <c r="N8" i="44"/>
  <c r="R8" i="44" s="1"/>
  <c r="R7" i="44"/>
  <c r="N7" i="44"/>
  <c r="N6" i="44"/>
  <c r="R6" i="44" s="1"/>
  <c r="N4" i="44"/>
  <c r="R4" i="44" s="1"/>
  <c r="N3" i="44"/>
  <c r="R3" i="44" s="1"/>
  <c r="N3" i="40" l="1"/>
  <c r="R3" i="40" s="1"/>
  <c r="N4" i="40"/>
  <c r="R4" i="40" s="1"/>
  <c r="A5" i="40"/>
  <c r="N6" i="40"/>
  <c r="R6" i="40" s="1"/>
  <c r="N7" i="40"/>
  <c r="R7" i="40" s="1"/>
  <c r="N8" i="40"/>
  <c r="R8" i="40" s="1"/>
  <c r="N9" i="40"/>
  <c r="R9" i="40" s="1"/>
  <c r="N10" i="40"/>
  <c r="R10" i="40" s="1"/>
  <c r="N11" i="40"/>
  <c r="R11" i="40" s="1"/>
  <c r="N12" i="40"/>
  <c r="R12" i="40" s="1"/>
  <c r="N13" i="40"/>
  <c r="R13" i="40" s="1"/>
  <c r="N14" i="40"/>
  <c r="R14" i="40" s="1"/>
  <c r="N15" i="40"/>
  <c r="R15" i="40" s="1"/>
  <c r="N16" i="40"/>
  <c r="R16" i="40" s="1"/>
  <c r="N17" i="40"/>
  <c r="R17" i="40" s="1"/>
  <c r="N18" i="40"/>
  <c r="R18" i="40" s="1"/>
  <c r="N19" i="40"/>
  <c r="R19" i="40" s="1"/>
  <c r="N20" i="40"/>
  <c r="R20" i="40" s="1"/>
  <c r="N21" i="40"/>
  <c r="R21" i="40" s="1"/>
  <c r="N22" i="40"/>
  <c r="R22" i="40" s="1"/>
  <c r="A23" i="40"/>
  <c r="N24" i="40"/>
  <c r="R24" i="40" s="1"/>
  <c r="N25" i="40"/>
  <c r="R25" i="40" s="1"/>
  <c r="N26" i="40"/>
  <c r="R26" i="40" s="1"/>
  <c r="N27" i="40"/>
  <c r="R27" i="40" s="1"/>
  <c r="N28" i="40"/>
  <c r="R28" i="40" s="1"/>
  <c r="A29" i="40"/>
  <c r="N30" i="40"/>
  <c r="R30" i="40" s="1"/>
  <c r="N31" i="40"/>
  <c r="R31" i="40" s="1"/>
  <c r="A32" i="40"/>
  <c r="N33" i="40"/>
  <c r="R33" i="40" s="1"/>
  <c r="N34" i="40"/>
  <c r="R34" i="40" s="1"/>
  <c r="N35" i="40"/>
  <c r="R35" i="40" s="1"/>
  <c r="N36" i="40"/>
  <c r="R36" i="40" s="1"/>
  <c r="N37" i="40"/>
  <c r="R37" i="40" s="1"/>
  <c r="A38" i="40"/>
  <c r="N39" i="40"/>
  <c r="R39" i="40" s="1"/>
  <c r="N40" i="40"/>
  <c r="R40" i="40" s="1"/>
  <c r="N41" i="40"/>
  <c r="R41" i="40" s="1"/>
  <c r="N3" i="39"/>
  <c r="R3" i="39" s="1"/>
  <c r="N4" i="39"/>
  <c r="R4" i="39" s="1"/>
  <c r="A5" i="39"/>
  <c r="N6" i="39"/>
  <c r="R6" i="39" s="1"/>
  <c r="N7" i="39"/>
  <c r="R7" i="39" s="1"/>
  <c r="N8" i="39"/>
  <c r="R8" i="39" s="1"/>
  <c r="N9" i="39"/>
  <c r="R9" i="39" s="1"/>
  <c r="N10" i="39"/>
  <c r="R10" i="39" s="1"/>
  <c r="N11" i="39"/>
  <c r="R11" i="39" s="1"/>
  <c r="N12" i="39"/>
  <c r="R12" i="39" s="1"/>
  <c r="N13" i="39"/>
  <c r="R13" i="39" s="1"/>
  <c r="N14" i="39"/>
  <c r="R14" i="39" s="1"/>
  <c r="N15" i="39"/>
  <c r="R15" i="39" s="1"/>
  <c r="N16" i="39"/>
  <c r="R16" i="39" s="1"/>
  <c r="N17" i="39"/>
  <c r="R17" i="39" s="1"/>
  <c r="N18" i="39"/>
  <c r="R18" i="39" s="1"/>
  <c r="N19" i="39"/>
  <c r="R19" i="39" s="1"/>
  <c r="N20" i="39"/>
  <c r="R20" i="39" s="1"/>
  <c r="N21" i="39"/>
  <c r="R21" i="39" s="1"/>
  <c r="N22" i="39"/>
  <c r="R22" i="39" s="1"/>
  <c r="A23" i="39"/>
  <c r="N24" i="39"/>
  <c r="R24" i="39" s="1"/>
  <c r="N25" i="39"/>
  <c r="R25" i="39" s="1"/>
  <c r="N26" i="39"/>
  <c r="R26" i="39" s="1"/>
  <c r="N27" i="39"/>
  <c r="R27" i="39" s="1"/>
  <c r="N28" i="39"/>
  <c r="R28" i="39" s="1"/>
  <c r="A29" i="39"/>
  <c r="N30" i="39"/>
  <c r="R30" i="39" s="1"/>
  <c r="N31" i="39"/>
  <c r="R31" i="39" s="1"/>
  <c r="A32" i="39"/>
  <c r="N33" i="39"/>
  <c r="R33" i="39" s="1"/>
  <c r="N34" i="39"/>
  <c r="R34" i="39" s="1"/>
  <c r="N35" i="39"/>
  <c r="R35" i="39" s="1"/>
  <c r="N36" i="39"/>
  <c r="R36" i="39" s="1"/>
  <c r="N37" i="39"/>
  <c r="R37" i="39" s="1"/>
  <c r="A38" i="39"/>
  <c r="N39" i="39"/>
  <c r="R39" i="39" s="1"/>
  <c r="N40" i="39"/>
  <c r="R40" i="39" s="1"/>
  <c r="N41" i="39"/>
  <c r="R41" i="39" s="1"/>
  <c r="N36" i="1"/>
  <c r="R36" i="1" s="1"/>
  <c r="N35" i="1"/>
  <c r="R35" i="1" s="1"/>
  <c r="N34" i="1"/>
  <c r="R34" i="1" s="1"/>
  <c r="N31" i="1"/>
  <c r="R31" i="1" s="1"/>
  <c r="N30" i="1"/>
  <c r="R30" i="1" s="1"/>
  <c r="N29" i="1"/>
  <c r="R29" i="1" s="1"/>
  <c r="N28" i="1"/>
  <c r="R28" i="1" s="1"/>
  <c r="N25" i="1"/>
  <c r="R25" i="1" s="1"/>
  <c r="N22" i="1"/>
  <c r="R22" i="1" s="1"/>
  <c r="N21" i="1"/>
  <c r="R21" i="1" s="1"/>
  <c r="N20" i="1"/>
  <c r="R20" i="1" s="1"/>
  <c r="N19" i="1"/>
  <c r="R19" i="1" s="1"/>
  <c r="N16" i="1"/>
  <c r="R16" i="1" s="1"/>
  <c r="N15" i="1"/>
  <c r="R15" i="1" s="1"/>
  <c r="N14" i="1"/>
  <c r="R14" i="1" s="1"/>
  <c r="N13" i="1"/>
  <c r="R13" i="1" s="1"/>
  <c r="N12" i="1"/>
  <c r="R12" i="1" s="1"/>
  <c r="N11" i="1"/>
  <c r="R11" i="1" s="1"/>
  <c r="N10" i="1"/>
  <c r="R10" i="1" s="1"/>
  <c r="N9" i="1"/>
  <c r="R9" i="1" s="1"/>
  <c r="N8" i="1"/>
  <c r="R8" i="1" s="1"/>
  <c r="N7" i="1"/>
  <c r="R7" i="1" s="1"/>
  <c r="N6" i="1"/>
  <c r="R6" i="1" s="1"/>
  <c r="N4" i="1"/>
  <c r="R4" i="1" s="1"/>
  <c r="N3" i="1"/>
  <c r="R3" i="1" s="1"/>
  <c r="N39" i="5"/>
  <c r="R39" i="5" s="1"/>
  <c r="N38" i="5"/>
  <c r="R38" i="5" s="1"/>
  <c r="N35" i="5"/>
  <c r="R35" i="5" s="1"/>
  <c r="N34" i="5"/>
  <c r="R34" i="5" s="1"/>
  <c r="N33" i="5"/>
  <c r="R33" i="5" s="1"/>
  <c r="N32" i="5"/>
  <c r="R32" i="5" s="1"/>
  <c r="N29" i="5"/>
  <c r="R29" i="5" s="1"/>
  <c r="N26" i="5"/>
  <c r="R26" i="5" s="1"/>
  <c r="N25" i="5"/>
  <c r="R25" i="5" s="1"/>
  <c r="N24" i="5"/>
  <c r="R24" i="5" s="1"/>
  <c r="N23" i="5"/>
  <c r="R23" i="5" s="1"/>
  <c r="N20" i="5"/>
  <c r="R20" i="5" s="1"/>
  <c r="N19" i="5"/>
  <c r="R19" i="5" s="1"/>
  <c r="N18" i="5"/>
  <c r="R18" i="5" s="1"/>
  <c r="N17" i="5"/>
  <c r="R17" i="5" s="1"/>
  <c r="N16" i="5"/>
  <c r="R16" i="5" s="1"/>
  <c r="N15" i="5"/>
  <c r="R15" i="5" s="1"/>
  <c r="N14" i="5"/>
  <c r="R14" i="5" s="1"/>
  <c r="N13" i="5"/>
  <c r="R13" i="5" s="1"/>
  <c r="N12" i="5"/>
  <c r="R12" i="5" s="1"/>
  <c r="N11" i="5"/>
  <c r="R11" i="5" s="1"/>
  <c r="N10" i="5"/>
  <c r="R10" i="5" s="1"/>
  <c r="N9" i="5"/>
  <c r="R9" i="5" s="1"/>
  <c r="N8" i="5"/>
  <c r="R8" i="5" s="1"/>
  <c r="N7" i="5"/>
  <c r="R7" i="5" s="1"/>
  <c r="N6" i="5"/>
  <c r="R6" i="5" s="1"/>
  <c r="N4" i="5"/>
  <c r="R4" i="5" s="1"/>
  <c r="N3" i="5"/>
  <c r="R3" i="5" s="1"/>
  <c r="N41" i="19"/>
  <c r="R41" i="19" s="1"/>
  <c r="N40" i="19"/>
  <c r="R40" i="19" s="1"/>
  <c r="N39" i="19"/>
  <c r="R39" i="19" s="1"/>
  <c r="N37" i="19"/>
  <c r="R37" i="19" s="1"/>
  <c r="N36" i="19"/>
  <c r="R36" i="19" s="1"/>
  <c r="N35" i="19"/>
  <c r="R35" i="19" s="1"/>
  <c r="N34" i="19"/>
  <c r="R34" i="19" s="1"/>
  <c r="N33" i="19"/>
  <c r="R33" i="19" s="1"/>
  <c r="N31" i="19"/>
  <c r="R31" i="19" s="1"/>
  <c r="N30" i="19"/>
  <c r="R30" i="19" s="1"/>
  <c r="N28" i="19"/>
  <c r="R28" i="19" s="1"/>
  <c r="N27" i="19"/>
  <c r="R27" i="19" s="1"/>
  <c r="N26" i="19"/>
  <c r="R26" i="19" s="1"/>
  <c r="N25" i="19"/>
  <c r="R25" i="19" s="1"/>
  <c r="N24" i="19"/>
  <c r="R24" i="19" s="1"/>
  <c r="N22" i="19"/>
  <c r="R22" i="19" s="1"/>
  <c r="N21" i="19"/>
  <c r="R21" i="19" s="1"/>
  <c r="N20" i="19"/>
  <c r="R20" i="19" s="1"/>
  <c r="N19" i="19"/>
  <c r="R19" i="19" s="1"/>
  <c r="N18" i="19"/>
  <c r="R18" i="19" s="1"/>
  <c r="N17" i="19"/>
  <c r="R17" i="19" s="1"/>
  <c r="N16" i="19"/>
  <c r="R16" i="19" s="1"/>
  <c r="N15" i="19"/>
  <c r="R15" i="19" s="1"/>
  <c r="N14" i="19"/>
  <c r="R14" i="19" s="1"/>
  <c r="N13" i="19"/>
  <c r="R13" i="19" s="1"/>
  <c r="N12" i="19"/>
  <c r="R12" i="19" s="1"/>
  <c r="N11" i="19"/>
  <c r="R11" i="19" s="1"/>
  <c r="N10" i="19"/>
  <c r="R10" i="19" s="1"/>
  <c r="N9" i="19"/>
  <c r="R9" i="19" s="1"/>
  <c r="N8" i="19"/>
  <c r="R8" i="19" s="1"/>
  <c r="N7" i="19"/>
  <c r="R7" i="19" s="1"/>
  <c r="N6" i="19"/>
  <c r="R6" i="19" s="1"/>
  <c r="N4" i="19"/>
  <c r="R4" i="19" s="1"/>
  <c r="N3" i="19"/>
  <c r="R3" i="19" s="1"/>
  <c r="N41" i="17"/>
  <c r="R41" i="17" s="1"/>
  <c r="N40" i="17"/>
  <c r="R40" i="17" s="1"/>
  <c r="N39" i="17"/>
  <c r="R39" i="17" s="1"/>
  <c r="N37" i="17"/>
  <c r="R37" i="17" s="1"/>
  <c r="N36" i="17"/>
  <c r="R36" i="17" s="1"/>
  <c r="N35" i="17"/>
  <c r="R35" i="17" s="1"/>
  <c r="N34" i="17"/>
  <c r="R34" i="17" s="1"/>
  <c r="N33" i="17"/>
  <c r="R33" i="17" s="1"/>
  <c r="N31" i="17"/>
  <c r="R31" i="17" s="1"/>
  <c r="N30" i="17"/>
  <c r="R30" i="17" s="1"/>
  <c r="N28" i="17"/>
  <c r="R28" i="17" s="1"/>
  <c r="N27" i="17"/>
  <c r="R27" i="17" s="1"/>
  <c r="N26" i="17"/>
  <c r="R26" i="17" s="1"/>
  <c r="N25" i="17"/>
  <c r="R25" i="17" s="1"/>
  <c r="N24" i="17"/>
  <c r="R24" i="17" s="1"/>
  <c r="N22" i="17"/>
  <c r="R22" i="17" s="1"/>
  <c r="N21" i="17"/>
  <c r="R21" i="17" s="1"/>
  <c r="N20" i="17"/>
  <c r="R20" i="17" s="1"/>
  <c r="N19" i="17"/>
  <c r="R19" i="17" s="1"/>
  <c r="N18" i="17"/>
  <c r="R18" i="17" s="1"/>
  <c r="N17" i="17"/>
  <c r="R17" i="17" s="1"/>
  <c r="N16" i="17"/>
  <c r="R16" i="17" s="1"/>
  <c r="N15" i="17"/>
  <c r="R15" i="17" s="1"/>
  <c r="N14" i="17"/>
  <c r="R14" i="17" s="1"/>
  <c r="N13" i="17"/>
  <c r="R13" i="17" s="1"/>
  <c r="N12" i="17"/>
  <c r="R12" i="17" s="1"/>
  <c r="N11" i="17"/>
  <c r="R11" i="17" s="1"/>
  <c r="N10" i="17"/>
  <c r="R10" i="17" s="1"/>
  <c r="N9" i="17"/>
  <c r="R9" i="17" s="1"/>
  <c r="N8" i="17"/>
  <c r="R8" i="17" s="1"/>
  <c r="N7" i="17"/>
  <c r="R7" i="17" s="1"/>
  <c r="N6" i="17"/>
  <c r="R6" i="17" s="1"/>
  <c r="N4" i="17"/>
  <c r="R4" i="17" s="1"/>
  <c r="N3" i="17"/>
  <c r="R3" i="17" s="1"/>
  <c r="N39" i="7"/>
  <c r="R39" i="7" s="1"/>
  <c r="N38" i="7"/>
  <c r="R38" i="7" s="1"/>
  <c r="N37" i="7"/>
  <c r="R37" i="7" s="1"/>
  <c r="N35" i="7"/>
  <c r="R35" i="7" s="1"/>
  <c r="N34" i="7"/>
  <c r="R34" i="7" s="1"/>
  <c r="N33" i="7"/>
  <c r="R33" i="7" s="1"/>
  <c r="N32" i="7"/>
  <c r="R32" i="7" s="1"/>
  <c r="N31" i="7"/>
  <c r="R31" i="7" s="1"/>
  <c r="N29" i="7"/>
  <c r="R29" i="7" s="1"/>
  <c r="N28" i="7"/>
  <c r="R28" i="7" s="1"/>
  <c r="N26" i="7"/>
  <c r="R26" i="7" s="1"/>
  <c r="N25" i="7"/>
  <c r="R25" i="7" s="1"/>
  <c r="N24" i="7"/>
  <c r="R24" i="7" s="1"/>
  <c r="N23" i="7"/>
  <c r="R23" i="7" s="1"/>
  <c r="N22" i="7"/>
  <c r="R22" i="7" s="1"/>
  <c r="N20" i="7"/>
  <c r="R20" i="7" s="1"/>
  <c r="N19" i="7"/>
  <c r="R19" i="7" s="1"/>
  <c r="N18" i="7"/>
  <c r="R18" i="7" s="1"/>
  <c r="N17" i="7"/>
  <c r="R17" i="7" s="1"/>
  <c r="N16" i="7"/>
  <c r="R16" i="7" s="1"/>
  <c r="N15" i="7"/>
  <c r="R15" i="7" s="1"/>
  <c r="N14" i="7"/>
  <c r="R14" i="7" s="1"/>
  <c r="N13" i="7"/>
  <c r="R13" i="7" s="1"/>
  <c r="N12" i="7"/>
  <c r="R12" i="7" s="1"/>
  <c r="N11" i="7"/>
  <c r="R11" i="7" s="1"/>
  <c r="N10" i="7"/>
  <c r="R10" i="7" s="1"/>
  <c r="N9" i="7"/>
  <c r="R9" i="7" s="1"/>
  <c r="N8" i="7"/>
  <c r="R8" i="7" s="1"/>
  <c r="N7" i="7"/>
  <c r="R7" i="7" s="1"/>
  <c r="N6" i="7"/>
  <c r="R6" i="7" s="1"/>
  <c r="N4" i="7"/>
  <c r="R4" i="7" s="1"/>
  <c r="N3" i="7"/>
  <c r="R3" i="7" s="1"/>
  <c r="N39" i="11"/>
  <c r="R39" i="11" s="1"/>
  <c r="N38" i="11"/>
  <c r="R38" i="11" s="1"/>
  <c r="N37" i="11"/>
  <c r="R37" i="11" s="1"/>
  <c r="N35" i="11"/>
  <c r="R35" i="11" s="1"/>
  <c r="N34" i="11"/>
  <c r="R34" i="11" s="1"/>
  <c r="N33" i="11"/>
  <c r="R33" i="11" s="1"/>
  <c r="N32" i="11"/>
  <c r="R32" i="11" s="1"/>
  <c r="N31" i="11"/>
  <c r="R31" i="11" s="1"/>
  <c r="N29" i="11"/>
  <c r="R29" i="11" s="1"/>
  <c r="N28" i="11"/>
  <c r="R28" i="11" s="1"/>
  <c r="N26" i="11"/>
  <c r="R26" i="11" s="1"/>
  <c r="N25" i="11"/>
  <c r="R25" i="11" s="1"/>
  <c r="N24" i="11"/>
  <c r="R24" i="11" s="1"/>
  <c r="N23" i="11"/>
  <c r="R23" i="11" s="1"/>
  <c r="N22" i="11"/>
  <c r="R22" i="11" s="1"/>
  <c r="N20" i="11"/>
  <c r="R20" i="11" s="1"/>
  <c r="N19" i="11"/>
  <c r="R19" i="11" s="1"/>
  <c r="N18" i="11"/>
  <c r="R18" i="11" s="1"/>
  <c r="N17" i="11"/>
  <c r="R17" i="11" s="1"/>
  <c r="N16" i="11"/>
  <c r="R16" i="11" s="1"/>
  <c r="N15" i="11"/>
  <c r="R15" i="11" s="1"/>
  <c r="N14" i="11"/>
  <c r="R14" i="11" s="1"/>
  <c r="N13" i="11"/>
  <c r="R13" i="11" s="1"/>
  <c r="N12" i="11"/>
  <c r="R12" i="11" s="1"/>
  <c r="N11" i="11"/>
  <c r="R11" i="11" s="1"/>
  <c r="N10" i="11"/>
  <c r="R10" i="11" s="1"/>
  <c r="N9" i="11"/>
  <c r="R9" i="11" s="1"/>
  <c r="N8" i="11"/>
  <c r="R8" i="11" s="1"/>
  <c r="N7" i="11"/>
  <c r="R7" i="11" s="1"/>
  <c r="N6" i="11"/>
  <c r="R6" i="11" s="1"/>
  <c r="N4" i="11"/>
  <c r="R4" i="11" s="1"/>
  <c r="N3" i="11"/>
  <c r="R3" i="11" s="1"/>
  <c r="N40" i="15"/>
  <c r="R40" i="15" s="1"/>
  <c r="N39" i="15"/>
  <c r="R39" i="15" s="1"/>
  <c r="N38" i="15"/>
  <c r="R38" i="15" s="1"/>
  <c r="N36" i="15"/>
  <c r="R36" i="15" s="1"/>
  <c r="N35" i="15"/>
  <c r="R35" i="15" s="1"/>
  <c r="N34" i="15"/>
  <c r="R34" i="15" s="1"/>
  <c r="N33" i="15"/>
  <c r="R33" i="15" s="1"/>
  <c r="N32" i="15"/>
  <c r="R32" i="15" s="1"/>
  <c r="N30" i="15"/>
  <c r="R30" i="15" s="1"/>
  <c r="N29" i="15"/>
  <c r="R29" i="15" s="1"/>
  <c r="N27" i="15"/>
  <c r="R27" i="15" s="1"/>
  <c r="N26" i="15"/>
  <c r="R26" i="15" s="1"/>
  <c r="N25" i="15"/>
  <c r="R25" i="15" s="1"/>
  <c r="N24" i="15"/>
  <c r="R24" i="15" s="1"/>
  <c r="N23" i="15"/>
  <c r="R23" i="15" s="1"/>
  <c r="N21" i="15"/>
  <c r="R21" i="15" s="1"/>
  <c r="N20" i="15"/>
  <c r="R20" i="15" s="1"/>
  <c r="N19" i="15"/>
  <c r="R19" i="15" s="1"/>
  <c r="N18" i="15"/>
  <c r="R18" i="15" s="1"/>
  <c r="N17" i="15"/>
  <c r="R17" i="15" s="1"/>
  <c r="N16" i="15"/>
  <c r="R16" i="15" s="1"/>
  <c r="N15" i="15"/>
  <c r="R15" i="15" s="1"/>
  <c r="N14" i="15"/>
  <c r="R14" i="15" s="1"/>
  <c r="N13" i="15"/>
  <c r="R13" i="15" s="1"/>
  <c r="N12" i="15"/>
  <c r="R12" i="15" s="1"/>
  <c r="N11" i="15"/>
  <c r="R11" i="15" s="1"/>
  <c r="N10" i="15"/>
  <c r="R10" i="15" s="1"/>
  <c r="N9" i="15"/>
  <c r="R9" i="15" s="1"/>
  <c r="N8" i="15"/>
  <c r="R8" i="15" s="1"/>
  <c r="N7" i="15"/>
  <c r="R7" i="15" s="1"/>
  <c r="N6" i="15"/>
  <c r="R6" i="15" s="1"/>
  <c r="N4" i="15"/>
  <c r="R4" i="15" s="1"/>
  <c r="N3" i="15"/>
  <c r="R3" i="15" s="1"/>
  <c r="N41" i="16"/>
  <c r="R41" i="16" s="1"/>
  <c r="N40" i="16"/>
  <c r="R40" i="16" s="1"/>
  <c r="N39" i="16"/>
  <c r="R39" i="16" s="1"/>
  <c r="N37" i="16"/>
  <c r="R37" i="16" s="1"/>
  <c r="N36" i="16"/>
  <c r="R36" i="16" s="1"/>
  <c r="N35" i="16"/>
  <c r="R35" i="16" s="1"/>
  <c r="N34" i="16"/>
  <c r="R34" i="16" s="1"/>
  <c r="N33" i="16"/>
  <c r="R33" i="16" s="1"/>
  <c r="N31" i="16"/>
  <c r="R31" i="16" s="1"/>
  <c r="N30" i="16"/>
  <c r="R30" i="16" s="1"/>
  <c r="N28" i="16"/>
  <c r="R28" i="16" s="1"/>
  <c r="N27" i="16"/>
  <c r="R27" i="16" s="1"/>
  <c r="N26" i="16"/>
  <c r="R26" i="16" s="1"/>
  <c r="N25" i="16"/>
  <c r="R25" i="16" s="1"/>
  <c r="N24" i="16"/>
  <c r="R24" i="16" s="1"/>
  <c r="N22" i="16"/>
  <c r="R22" i="16" s="1"/>
  <c r="N21" i="16"/>
  <c r="R21" i="16" s="1"/>
  <c r="N20" i="16"/>
  <c r="R20" i="16" s="1"/>
  <c r="N19" i="16"/>
  <c r="R19" i="16" s="1"/>
  <c r="N18" i="16"/>
  <c r="R18" i="16" s="1"/>
  <c r="N17" i="16"/>
  <c r="R17" i="16" s="1"/>
  <c r="N16" i="16"/>
  <c r="R16" i="16" s="1"/>
  <c r="N15" i="16"/>
  <c r="R15" i="16" s="1"/>
  <c r="N14" i="16"/>
  <c r="R14" i="16" s="1"/>
  <c r="N13" i="16"/>
  <c r="R13" i="16" s="1"/>
  <c r="N12" i="16"/>
  <c r="R12" i="16" s="1"/>
  <c r="N11" i="16"/>
  <c r="R11" i="16" s="1"/>
  <c r="N10" i="16"/>
  <c r="R10" i="16" s="1"/>
  <c r="N9" i="16"/>
  <c r="R9" i="16" s="1"/>
  <c r="N8" i="16"/>
  <c r="R8" i="16" s="1"/>
  <c r="N7" i="16"/>
  <c r="R7" i="16" s="1"/>
  <c r="N6" i="16"/>
  <c r="R6" i="16" s="1"/>
  <c r="N4" i="16"/>
  <c r="R4" i="16" s="1"/>
  <c r="N3" i="16"/>
  <c r="R3" i="16" s="1"/>
  <c r="N41" i="27"/>
  <c r="R41" i="27" s="1"/>
  <c r="N40" i="27"/>
  <c r="R40" i="27" s="1"/>
  <c r="N39" i="27"/>
  <c r="R39" i="27" s="1"/>
  <c r="N37" i="27"/>
  <c r="R37" i="27" s="1"/>
  <c r="N36" i="27"/>
  <c r="R36" i="27" s="1"/>
  <c r="N35" i="27"/>
  <c r="R35" i="27" s="1"/>
  <c r="N34" i="27"/>
  <c r="R34" i="27" s="1"/>
  <c r="N33" i="27"/>
  <c r="R33" i="27" s="1"/>
  <c r="N31" i="27"/>
  <c r="R31" i="27" s="1"/>
  <c r="N30" i="27"/>
  <c r="R30" i="27" s="1"/>
  <c r="N28" i="27"/>
  <c r="R28" i="27" s="1"/>
  <c r="N27" i="27"/>
  <c r="R27" i="27" s="1"/>
  <c r="N26" i="27"/>
  <c r="R26" i="27" s="1"/>
  <c r="N25" i="27"/>
  <c r="R25" i="27" s="1"/>
  <c r="N24" i="27"/>
  <c r="R24" i="27" s="1"/>
  <c r="N22" i="27"/>
  <c r="R22" i="27" s="1"/>
  <c r="N21" i="27"/>
  <c r="R21" i="27" s="1"/>
  <c r="N20" i="27"/>
  <c r="R20" i="27" s="1"/>
  <c r="N19" i="27"/>
  <c r="R19" i="27" s="1"/>
  <c r="N18" i="27"/>
  <c r="R18" i="27" s="1"/>
  <c r="N17" i="27"/>
  <c r="R17" i="27" s="1"/>
  <c r="N16" i="27"/>
  <c r="R16" i="27" s="1"/>
  <c r="N15" i="27"/>
  <c r="R15" i="27" s="1"/>
  <c r="N14" i="27"/>
  <c r="R14" i="27" s="1"/>
  <c r="N13" i="27"/>
  <c r="R13" i="27" s="1"/>
  <c r="N12" i="27"/>
  <c r="R12" i="27" s="1"/>
  <c r="N11" i="27"/>
  <c r="R11" i="27" s="1"/>
  <c r="N10" i="27"/>
  <c r="R10" i="27" s="1"/>
  <c r="N9" i="27"/>
  <c r="R9" i="27" s="1"/>
  <c r="N8" i="27"/>
  <c r="R8" i="27" s="1"/>
  <c r="N7" i="27"/>
  <c r="R7" i="27" s="1"/>
  <c r="N6" i="27"/>
  <c r="R6" i="27" s="1"/>
  <c r="N4" i="27"/>
  <c r="R4" i="27" s="1"/>
  <c r="N3" i="27"/>
  <c r="R3" i="27" s="1"/>
  <c r="L33" i="46" l="1"/>
  <c r="L29" i="46"/>
  <c r="L27" i="46"/>
  <c r="L23" i="46"/>
  <c r="L42" i="46"/>
  <c r="L38" i="46"/>
  <c r="L20" i="46"/>
  <c r="L16" i="46"/>
  <c r="L14" i="46"/>
  <c r="L22" i="46"/>
  <c r="L32" i="46"/>
  <c r="L28" i="46"/>
  <c r="L26" i="46"/>
  <c r="L36" i="46"/>
  <c r="L34" i="46"/>
  <c r="L41" i="46"/>
  <c r="L21" i="46"/>
  <c r="L17" i="46"/>
  <c r="L15" i="46"/>
  <c r="L13" i="46"/>
  <c r="L35" i="46"/>
  <c r="K35" i="46"/>
  <c r="K38" i="46"/>
  <c r="K16" i="46"/>
  <c r="K22" i="46"/>
  <c r="K27" i="46"/>
  <c r="K23" i="46"/>
  <c r="K42" i="46"/>
  <c r="K20" i="46"/>
  <c r="K14" i="46"/>
  <c r="K32" i="46"/>
  <c r="K28" i="46"/>
  <c r="K26" i="46"/>
  <c r="K33" i="46"/>
  <c r="K29" i="46"/>
  <c r="K36" i="46"/>
  <c r="K34" i="46"/>
  <c r="K21" i="46"/>
  <c r="K17" i="46"/>
  <c r="K15" i="46"/>
  <c r="K13" i="46"/>
  <c r="K41" i="46"/>
</calcChain>
</file>

<file path=xl/sharedStrings.xml><?xml version="1.0" encoding="utf-8"?>
<sst xmlns="http://schemas.openxmlformats.org/spreadsheetml/2006/main" count="6511" uniqueCount="698">
  <si>
    <t>额外，非固定费用</t>
  </si>
  <si>
    <t>Consignor</t>
  </si>
  <si>
    <t>Consignee</t>
  </si>
  <si>
    <t xml:space="preserve"> Port of Origin</t>
  </si>
  <si>
    <t xml:space="preserve"> Port of Destination</t>
  </si>
  <si>
    <t>Internal company</t>
  </si>
  <si>
    <t>Transport route</t>
  </si>
  <si>
    <t>Booking Fee
 订舱费</t>
  </si>
  <si>
    <t>Documentation Fee 文件费</t>
  </si>
  <si>
    <t xml:space="preserve">THC - Terminal Handling Charge码头操作费 </t>
  </si>
  <si>
    <t>Loading Fee 提货费</t>
  </si>
  <si>
    <t>Customs Declaration Fee 报关费</t>
  </si>
  <si>
    <t>B/L Fee 提单正本，电放操作费</t>
  </si>
  <si>
    <t>Additional Charge （查验，改单，保险，预提落箱，港口堆存费，集装箱超期使用费，亏舱费，超重/超尺寸附加费，等待费，搞定服务费，修箱移箱费等代收代付费用）</t>
  </si>
  <si>
    <t>Remark</t>
  </si>
  <si>
    <t>AINT- 666 Wenchang Road, Tongzhou District, Nantong City</t>
  </si>
  <si>
    <t>Air International Thermal System-c/o GTZ WAREHOUSE LLC-662 SOUTH 33rd STREET, BUILDING -J, McALLEN, TX 78503</t>
  </si>
  <si>
    <t>SHA</t>
  </si>
  <si>
    <t>HOU</t>
  </si>
  <si>
    <t xml:space="preserve">AIUS </t>
  </si>
  <si>
    <t>Door to Door</t>
  </si>
  <si>
    <t xml:space="preserve">
AISH-108 Chunguang Road, Minhang District, Shanghai</t>
  </si>
  <si>
    <t>Air International  Thermal Systems-c/o FTZ METRO WAREHOUSE-1200 E. McNICHOLS RD, HIGHLAND PARK, MI 48203.</t>
  </si>
  <si>
    <t>Detroit</t>
  </si>
  <si>
    <t>Air International Thermal Systems (Thailand) Ltd. (Head Office) 500/46 Moo 3, WHA Eastern Seaboard Industrial Estate 1 Tambol Tasit, Amphur Pluak Daeng, Rayong 21140 Thailand</t>
  </si>
  <si>
    <t>Air International Thermal Systems
466 Baxter Lane Winchester ,TN,USA ,37398</t>
  </si>
  <si>
    <t>Laem Chabang</t>
  </si>
  <si>
    <t>Savanna</t>
  </si>
  <si>
    <t>Divine &amp; Creative from India</t>
  </si>
  <si>
    <t>Nhava Sheva</t>
  </si>
  <si>
    <t>AIR INTERNATIONAL TERMAL SISTEMLERI A.S                                               Alikahya OSB 3. CADDE NO:5
41310
Kocaeli/Izmit
Turkey</t>
  </si>
  <si>
    <t>Izmit</t>
  </si>
  <si>
    <t>AITURKEY</t>
  </si>
  <si>
    <t>AINT- 666 Wenchang Road, Tongzhou District, Nantong City,China</t>
  </si>
  <si>
    <t>Air International Thermal (Slovakia) s.r.o.
Prologis Park Nitra, DC3 Cez panske 4289/9
949 01 Nitra   
Slovakia</t>
  </si>
  <si>
    <t>Koper</t>
  </si>
  <si>
    <t>AISK</t>
  </si>
  <si>
    <t>Air International (Shanghai) Co.,Ltd. No. 108 Chun guang Road, XinZhuang Industrial Zone Minhang, Shanghai P.R. China 201108</t>
  </si>
  <si>
    <t>Air International Thermal Systems (Thailand) Ltd. 41/17,18,19 MOO 8,T.BOWIN,A.SRIRACHA,CHONBURI,20230 THAILAND</t>
  </si>
  <si>
    <t>Laemchabang</t>
  </si>
  <si>
    <t>AITH</t>
  </si>
  <si>
    <t>Shanghai Huafon Aluminium Corporati 1111# yuegong road Jinshan district Shanghai Zip Code: 201506</t>
  </si>
  <si>
    <t>Air International Thermal Systems (Thailand) Ltd.
500/46 Moo 3, WHA Eastern Seaboard Industrial Estate 1,
T. Tasit, A. Pluekdaeng, Rayong 21140</t>
  </si>
  <si>
    <t>Hyo Seong Electric (Toanjin) Co.,Ltd No.99, Xi San Dao, Tianjin Airport Industrial Park, TPFTZ, Tianjin, P.R. China</t>
  </si>
  <si>
    <t>Tianjin</t>
  </si>
  <si>
    <t>OSE Industries LLC. Dubai Industrial Park, Office#103, First Floor, Building 1, Dubai Industrial City, Dubai, UAE, Post Box 126344</t>
  </si>
  <si>
    <t>Dubai</t>
  </si>
  <si>
    <t>DELTA ELECTRONICS (THAILAND) PUBLIC
COMPANY LIMITED
111 MOO 9,BANGNA-TRAD RD.,TAMBOL BANGWUA AMPHUR
BANGPAKONG
CHACHOENGSAO, 24180 THAILAND</t>
  </si>
  <si>
    <t>AISH</t>
  </si>
  <si>
    <t>Woory Industrial Co.,Ltd
#531, Jigok-dong, Kihung-gu
Yongin-city, Kyonggi-Do, Korea</t>
  </si>
  <si>
    <t>INCHEON PORT, KOREA</t>
  </si>
  <si>
    <t>AIMX MANZANILLO PORT</t>
  </si>
  <si>
    <t>MANZANILLO.MX</t>
  </si>
  <si>
    <t>AIMX</t>
  </si>
  <si>
    <t xml:space="preserve">CIF </t>
  </si>
  <si>
    <t>DELTA ELECTRONICS (THAILAND) PUBLIC
COMPANY LIMITED 111 MOO 9,BANGNA-TRAD RD.,TAMBOL BANGWUA AMPHUR
BANGPAKONG
CHACHOENGSAO, 24180 THAILAND</t>
  </si>
  <si>
    <t>Bangkok</t>
  </si>
  <si>
    <t>Creative component 
 EX/UII22000087 Dt 26-08-2022
Plot No-138,Sector No-7,PCNTDA Buyer's Order No. &amp; Date
Pune - 411 026.
Maharashtra, INDIA.</t>
  </si>
  <si>
    <t>Dalian Aibike Air Conditioning Parts Co.,Ltd.</t>
  </si>
  <si>
    <t>Dalian</t>
  </si>
  <si>
    <t>SAI-No. 3 Gaobao Lake East Road, Yubei District, Chongqing</t>
    <phoneticPr fontId="7" type="noConversion"/>
  </si>
  <si>
    <t>AITH</t>
    <phoneticPr fontId="7" type="noConversion"/>
  </si>
  <si>
    <t>Nhava Sheva (Jawaharlal Nehru) IN (INNSA)</t>
  </si>
  <si>
    <t>Basic requirements</t>
    <phoneticPr fontId="7" type="noConversion"/>
  </si>
  <si>
    <t>Divine tooling</t>
  </si>
  <si>
    <t>分开招标</t>
    <phoneticPr fontId="7" type="noConversion"/>
  </si>
  <si>
    <t>AINT- 666 Wenchang Road, Tongzhou District, Nantong City</t>
    <phoneticPr fontId="7" type="noConversion"/>
  </si>
  <si>
    <t>AI-Turkey</t>
    <phoneticPr fontId="7" type="noConversion"/>
  </si>
  <si>
    <t>AIUS TOC</t>
    <phoneticPr fontId="7" type="noConversion"/>
  </si>
  <si>
    <t>AIUS Baxter</t>
    <phoneticPr fontId="7" type="noConversion"/>
  </si>
  <si>
    <t>AIR INTERNATIONAL TERMAL SİSTEMLERİ A. Ş.ESENTEPE MAH. ALİ KAYA SK. POLAT PLAZA B BLOK NO: 1/1İÇ KAPI NO:69 ŞİŞLİ/İSTANBUL</t>
  </si>
  <si>
    <t>Incoterm</t>
    <phoneticPr fontId="7" type="noConversion"/>
  </si>
  <si>
    <t>EXW</t>
    <phoneticPr fontId="7" type="noConversion"/>
  </si>
  <si>
    <t>DAP</t>
    <phoneticPr fontId="7" type="noConversion"/>
  </si>
  <si>
    <t>Delta Electronics</t>
  </si>
  <si>
    <t xml:space="preserve">AISK </t>
    <phoneticPr fontId="7" type="noConversion"/>
  </si>
  <si>
    <t>当地自行招标 国内仅供对比参考</t>
  </si>
  <si>
    <t>当地自行招标 国内仅供对比参考</t>
    <phoneticPr fontId="7" type="noConversion"/>
  </si>
  <si>
    <t>DDP</t>
    <phoneticPr fontId="7" type="noConversion"/>
  </si>
  <si>
    <t>Hamburg</t>
  </si>
  <si>
    <t>AISH</t>
    <phoneticPr fontId="7" type="noConversion"/>
  </si>
  <si>
    <t>INCHEON</t>
    <phoneticPr fontId="7" type="noConversion"/>
  </si>
  <si>
    <t>Jiangsu Chao Li</t>
  </si>
  <si>
    <t>Yangzhou RSL</t>
  </si>
  <si>
    <t>Zhejiang Yuansheng</t>
  </si>
  <si>
    <t>Shanghai Huafon Coil</t>
  </si>
  <si>
    <t>Dalian ABIC</t>
  </si>
  <si>
    <t>Chongqing Boling</t>
  </si>
  <si>
    <t>Wuxi Liu He</t>
  </si>
  <si>
    <t>Yangzhou Featry</t>
  </si>
  <si>
    <t>Hunan Dong Li</t>
  </si>
  <si>
    <t>Shanghai Ganglong</t>
  </si>
  <si>
    <t>Hefei Shengyuan</t>
  </si>
  <si>
    <t>Tianjin Sunhoo</t>
  </si>
  <si>
    <t>TNC</t>
  </si>
  <si>
    <t>Tai Thai Rubber</t>
  </si>
  <si>
    <t>Pacific Rubber</t>
  </si>
  <si>
    <t>AITD</t>
  </si>
  <si>
    <t>Wuhu Bokang</t>
  </si>
  <si>
    <t>Nanjing PMC</t>
  </si>
  <si>
    <t>Changsha Shenda</t>
  </si>
  <si>
    <t>DETLA</t>
  </si>
  <si>
    <t>Creative Components</t>
  </si>
  <si>
    <t>WOORY</t>
  </si>
  <si>
    <t>Zhejiang Xinrui</t>
  </si>
  <si>
    <t>MANZANILLO</t>
  </si>
  <si>
    <t>AIMX</t>
    <phoneticPr fontId="7" type="noConversion"/>
  </si>
  <si>
    <t>Woory Industrial Co.,Ltd
#531, Jigok-dong, Kihung-gu
Yongin-city, Kyonggi-Do, Korea</t>
    <phoneticPr fontId="7" type="noConversion"/>
  </si>
  <si>
    <t>Puebla</t>
    <phoneticPr fontId="7" type="noConversion"/>
  </si>
  <si>
    <t>Puebla + Saltillo</t>
    <phoneticPr fontId="7" type="noConversion"/>
  </si>
  <si>
    <t>Saltillo</t>
    <phoneticPr fontId="7" type="noConversion"/>
  </si>
  <si>
    <t>CIF</t>
    <phoneticPr fontId="7" type="noConversion"/>
  </si>
  <si>
    <t>1. Online tracking system (Mandatory required by Ford)
2. Prefer Port of Hamburg rather than Koper, which provides better service</t>
    <phoneticPr fontId="7" type="noConversion"/>
  </si>
  <si>
    <r>
      <t xml:space="preserve">1. Only accept </t>
    </r>
    <r>
      <rPr>
        <b/>
        <i/>
        <sz val="8"/>
        <color rgb="FFFF0000"/>
        <rFont val="Arial"/>
        <family val="2"/>
      </rPr>
      <t>1</t>
    </r>
    <r>
      <rPr>
        <sz val="8"/>
        <color theme="1"/>
        <rFont val="Arial"/>
        <family val="2"/>
      </rPr>
      <t xml:space="preserve"> local broker
2. No significant bad history (Delay, waiting time too long, etc)</t>
    </r>
    <phoneticPr fontId="7" type="noConversion"/>
  </si>
  <si>
    <r>
      <t xml:space="preserve">1. Online tracking system (Mandatory requirement)
</t>
    </r>
    <r>
      <rPr>
        <b/>
        <sz val="8"/>
        <color rgb="FFFF0000"/>
        <rFont val="Aptos"/>
        <family val="2"/>
      </rPr>
      <t>2. Experienced with 'Foreign trade zone' application process</t>
    </r>
    <phoneticPr fontId="7" type="noConversion"/>
  </si>
  <si>
    <t>LCL / pallets</t>
    <phoneticPr fontId="7" type="noConversion"/>
  </si>
  <si>
    <t>1. Able to prepay duties for AIUS, could be up to 100k USD/container.</t>
  </si>
  <si>
    <t>竞标价为 after-tax</t>
    <phoneticPr fontId="7" type="noConversion"/>
  </si>
  <si>
    <t>南美航线</t>
  </si>
  <si>
    <t>/</t>
  </si>
  <si>
    <t>东南亚航线</t>
  </si>
  <si>
    <t>Geodis</t>
  </si>
  <si>
    <t>地中海航线</t>
  </si>
  <si>
    <t>Cargopartner/DSV</t>
  </si>
  <si>
    <t>Air International Thailand- Amphur Pluag Daek ,Rayonng 21140</t>
  </si>
  <si>
    <t>India</t>
  </si>
  <si>
    <t>Creative Components Pvt. Ltd. EX/UII22000087 Dt 26-08-2022
Plot No-138,Sector No-7,PCNTDA Buyer's Order No. &amp; Date
Pune - 411 026.
Maharashtra, INDIA.</t>
  </si>
  <si>
    <t>NMT/GEODIS</t>
  </si>
  <si>
    <t>SAI-No. 3 Gaobao Lake East Road, Yubei District, Chongqing</t>
  </si>
  <si>
    <t>合力通</t>
  </si>
  <si>
    <t>美东航线</t>
  </si>
  <si>
    <t>Superchain</t>
  </si>
  <si>
    <t>Rolig</t>
  </si>
  <si>
    <t>投标航运指数Shipping index for bidding</t>
  </si>
  <si>
    <t>参考航运指数名称 Name of shipping index</t>
  </si>
  <si>
    <t>Remarks</t>
  </si>
  <si>
    <t>Payer</t>
  </si>
  <si>
    <t>Pornsuda Khottatha</t>
  </si>
  <si>
    <t>Bafrnec, Marcel</t>
  </si>
  <si>
    <t>FOB</t>
    <phoneticPr fontId="7" type="noConversion"/>
  </si>
  <si>
    <t>Kaifu</t>
  </si>
  <si>
    <t>Freetrans</t>
  </si>
  <si>
    <t>Bondex</t>
  </si>
  <si>
    <t>Rohlig</t>
  </si>
  <si>
    <t>7-9 wks</t>
    <phoneticPr fontId="7" type="noConversion"/>
  </si>
  <si>
    <t>6-8 wks</t>
    <phoneticPr fontId="7" type="noConversion"/>
  </si>
  <si>
    <t>Tianjin Yuanhe</t>
  </si>
  <si>
    <t>Thai Nihon Seals</t>
  </si>
  <si>
    <t>Zhejiang Yida</t>
    <phoneticPr fontId="7" type="noConversion"/>
  </si>
  <si>
    <t>固定清关broker：Rohlig</t>
    <phoneticPr fontId="7" type="noConversion"/>
  </si>
  <si>
    <t>固定清关broker：Enciso</t>
    <phoneticPr fontId="7" type="noConversion"/>
  </si>
  <si>
    <t>8-10 wks</t>
  </si>
  <si>
    <t>9-11 wks</t>
  </si>
  <si>
    <t>8-9 wks</t>
  </si>
  <si>
    <t>9-10 wks</t>
  </si>
  <si>
    <t>15-20 days</t>
  </si>
  <si>
    <t>5-10 days</t>
  </si>
  <si>
    <t>15-20 days</t>
    <phoneticPr fontId="7" type="noConversion"/>
  </si>
  <si>
    <t>18-23 days</t>
    <phoneticPr fontId="7" type="noConversion"/>
  </si>
  <si>
    <t>20-25 days</t>
    <phoneticPr fontId="7" type="noConversion"/>
  </si>
  <si>
    <t>D2P Transit Time</t>
    <phoneticPr fontId="7" type="noConversion"/>
  </si>
  <si>
    <t>D2D Transit Time (Normal vessel)</t>
    <phoneticPr fontId="7" type="noConversion"/>
  </si>
  <si>
    <t>D2D Transit Time (Express vessel)</t>
    <phoneticPr fontId="7" type="noConversion"/>
  </si>
  <si>
    <t>-</t>
    <phoneticPr fontId="7" type="noConversion"/>
  </si>
  <si>
    <t>27-32 days</t>
    <phoneticPr fontId="7" type="noConversion"/>
  </si>
  <si>
    <t>45-50 days</t>
    <phoneticPr fontId="7" type="noConversion"/>
  </si>
  <si>
    <t>35-45 days</t>
    <phoneticPr fontId="7" type="noConversion"/>
  </si>
  <si>
    <t>50-55 days</t>
    <phoneticPr fontId="7" type="noConversion"/>
  </si>
  <si>
    <t>25-30 days</t>
    <phoneticPr fontId="7" type="noConversion"/>
  </si>
  <si>
    <t>N/A</t>
  </si>
  <si>
    <t>No need to do the customs clearance and pre-pay duties anymore</t>
  </si>
  <si>
    <t>Destination local cost</t>
  </si>
  <si>
    <t>收货人本地费用</t>
  </si>
  <si>
    <t>发货人本地费用明细</t>
  </si>
  <si>
    <t>AITD-Spring</t>
    <phoneticPr fontId="7" type="noConversion"/>
  </si>
  <si>
    <t>Tianjin</t>
    <phoneticPr fontId="7" type="noConversion"/>
  </si>
  <si>
    <r>
      <t xml:space="preserve">1. Online tracking system
2. Only accept </t>
    </r>
    <r>
      <rPr>
        <b/>
        <sz val="8"/>
        <color rgb="FFFF0000"/>
        <rFont val="Aptos"/>
      </rPr>
      <t>railway</t>
    </r>
    <r>
      <rPr>
        <sz val="8"/>
        <color rgb="FF000000"/>
        <rFont val="Aptos"/>
      </rPr>
      <t xml:space="preserve"> transportation from SAI to SHA port
3.</t>
    </r>
    <r>
      <rPr>
        <sz val="8"/>
        <color rgb="FFFF0000"/>
        <rFont val="Aptos"/>
      </rPr>
      <t xml:space="preserve"> No Israel vessels
</t>
    </r>
    <r>
      <rPr>
        <sz val="8"/>
        <rFont val="Aptos"/>
        <family val="2"/>
      </rPr>
      <t>4. All deposits are coverd by the forwarder.</t>
    </r>
    <phoneticPr fontId="7" type="noConversion"/>
  </si>
  <si>
    <r>
      <t xml:space="preserve">1. Pre-classification HS CODE service
</t>
    </r>
    <r>
      <rPr>
        <sz val="14"/>
        <color rgb="FFFF0000"/>
        <rFont val="Aptos"/>
        <family val="2"/>
      </rPr>
      <t>Attention: Woory's container type is 20GP, not 40HQ</t>
    </r>
    <r>
      <rPr>
        <sz val="8"/>
        <color rgb="FF000000"/>
        <rFont val="微软雅黑"/>
        <family val="2"/>
        <charset val="134"/>
      </rPr>
      <t xml:space="preserve">
</t>
    </r>
    <phoneticPr fontId="7" type="noConversion"/>
  </si>
  <si>
    <t xml:space="preserve">1. Forwarder needs to contact with our designated US customs broker Rohlig for clearance. </t>
    <phoneticPr fontId="7" type="noConversion"/>
  </si>
  <si>
    <t>10-12 wks</t>
    <phoneticPr fontId="7" type="noConversion"/>
  </si>
  <si>
    <t>11-13 wks</t>
    <phoneticPr fontId="7" type="noConversion"/>
  </si>
  <si>
    <t>Sea Freight Cost (Normal Vessel)</t>
    <phoneticPr fontId="7" type="noConversion"/>
  </si>
  <si>
    <t>Sea Freight Cost (Express Vessel)</t>
    <phoneticPr fontId="7" type="noConversion"/>
  </si>
  <si>
    <t>D2D Transit Time (Express vessel)</t>
  </si>
  <si>
    <t>Wuhu Bokang</t>
    <phoneticPr fontId="7" type="noConversion"/>
  </si>
  <si>
    <t>Creative Components</t>
    <phoneticPr fontId="7" type="noConversion"/>
  </si>
  <si>
    <t>Shanghai Keboda</t>
    <phoneticPr fontId="7" type="noConversion"/>
  </si>
  <si>
    <t>May. HQ40 Demand</t>
    <phoneticPr fontId="7" type="noConversion"/>
  </si>
  <si>
    <r>
      <t xml:space="preserve">1. MBL must consignee directly to Forwarder and assignee all the shipments with FW. 
2. As the service is D2P, the MBL must be consigned to Local FW (TRANSLAQ).
3. Guarantee letter with every FW to avoid payment of guarantees. AIMX will not pay any guarantee.
4. The FW must finance the local charges at destination or assign a local forwarder. 
5. We need 21 free days of demurrages
6. Send Pre-alerts and documents once the vessel departs (Invoice, PL, BL, Freight cost, EIR). If the arrival notification is sent 1 week before the arrival of vessel, the additional costs will be charged directly to the Forwarder (Storages and demurrages)
7. Do Not ship our load in a reefer container, because the cost of guarantees is higher than the regular containers.
8. Assignee containers in good conditions to avoid payment of damage´s containers. 
9. Always send to us the EIR´S and pictures of container´s conditions that you place in origin with each supplier.
10. Able to combine light and heavy pallets from different suppliers into one container
</t>
    </r>
    <r>
      <rPr>
        <sz val="8"/>
        <rFont val="Aptos"/>
        <family val="2"/>
      </rPr>
      <t>11. SHA - MANZANILLO line only use express vessels and appointed shipping companies (Cosco, MSC, HPL, MSK, CMA)</t>
    </r>
    <r>
      <rPr>
        <b/>
        <sz val="8"/>
        <color rgb="FFFF0000"/>
        <rFont val="Aptos"/>
        <family val="2"/>
      </rPr>
      <t xml:space="preserve">
12. </t>
    </r>
    <r>
      <rPr>
        <b/>
        <sz val="8"/>
        <color rgb="FFFF0000"/>
        <rFont val="微软雅黑"/>
        <family val="2"/>
        <charset val="134"/>
      </rPr>
      <t>尽量两个</t>
    </r>
    <r>
      <rPr>
        <b/>
        <sz val="8"/>
        <color rgb="FFFF0000"/>
        <rFont val="Arial"/>
        <family val="2"/>
      </rPr>
      <t xml:space="preserve"> </t>
    </r>
    <r>
      <rPr>
        <b/>
        <sz val="8"/>
        <color rgb="FFFF0000"/>
        <rFont val="微软雅黑"/>
        <family val="2"/>
        <charset val="134"/>
      </rPr>
      <t>或者</t>
    </r>
    <r>
      <rPr>
        <b/>
        <sz val="8"/>
        <color rgb="FFFF0000"/>
        <rFont val="Arial"/>
        <family val="2"/>
      </rPr>
      <t xml:space="preserve"> </t>
    </r>
    <r>
      <rPr>
        <b/>
        <sz val="8"/>
        <color rgb="FFFF0000"/>
        <rFont val="微软雅黑"/>
        <family val="2"/>
        <charset val="134"/>
      </rPr>
      <t xml:space="preserve">双数货柜在同一条船里，节省码头调度费
13. 货代需免除or自垫押箱费。
</t>
    </r>
    <phoneticPr fontId="7" type="noConversion"/>
  </si>
  <si>
    <t>-</t>
    <phoneticPr fontId="7" type="noConversion"/>
  </si>
  <si>
    <t>Incoterm</t>
  </si>
  <si>
    <t>HQ40 Demand</t>
  </si>
  <si>
    <t>SHA-Izmit</t>
  </si>
  <si>
    <t>AI-Turkey</t>
  </si>
  <si>
    <t>DAP</t>
  </si>
  <si>
    <t>10-12 wks</t>
  </si>
  <si>
    <t>BESTUNIT</t>
  </si>
  <si>
    <t>1. Online tracking system
2. Only accept railway transportation from SAI to SHA port
3. No Israel vessels
4. All deposits are coverd by the forwarder.</t>
  </si>
  <si>
    <t>SAI-Izmit</t>
  </si>
  <si>
    <t>EXW</t>
  </si>
  <si>
    <t>11-13 wks</t>
  </si>
  <si>
    <t>SHA-HOU</t>
  </si>
  <si>
    <t>AIUS TOC</t>
  </si>
  <si>
    <t>1. Online tracking system (Mandatory requirement)
2. Experienced with 'Foreign trade zone' application process</t>
  </si>
  <si>
    <t>SHA-Detroit</t>
  </si>
  <si>
    <t>Laem-Savanna</t>
  </si>
  <si>
    <t>AIUS Baxter</t>
  </si>
  <si>
    <t>Nhava-Savanna</t>
  </si>
  <si>
    <t>7-9 wks</t>
  </si>
  <si>
    <t>SHA-Savanna</t>
  </si>
  <si>
    <t>6-8 wks</t>
  </si>
  <si>
    <t>SHA-Hamburg</t>
  </si>
  <si>
    <t>Bestunit</t>
  </si>
  <si>
    <t>1. Online tracking system (Mandatory required by Ford)
2. Prefer Port of Hamburg rather than Koper, which provides better service</t>
  </si>
  <si>
    <t>Nhava-Hamburg</t>
  </si>
  <si>
    <t>Bangkok-Hamburg</t>
  </si>
  <si>
    <t>SHA-Laem</t>
  </si>
  <si>
    <t>1. Only accept 1 local broker
2. No significant bad history (Delay, waiting time too long, etc)</t>
  </si>
  <si>
    <t>Tianjin-Laem</t>
  </si>
  <si>
    <t>18-23 days</t>
  </si>
  <si>
    <t>Dubai-Laem</t>
  </si>
  <si>
    <t>-</t>
  </si>
  <si>
    <t>20-25 days</t>
  </si>
  <si>
    <t>Laem-Hamburg</t>
  </si>
  <si>
    <t>DDP</t>
  </si>
  <si>
    <t>Bangkok-SHA</t>
  </si>
  <si>
    <t>Incheon-SHA</t>
  </si>
  <si>
    <t>INCHEON</t>
  </si>
  <si>
    <t>Laem-Manzanillo</t>
  </si>
  <si>
    <t>Puebla + Saltillo</t>
  </si>
  <si>
    <t>CIF</t>
  </si>
  <si>
    <t>Bangkok-Manzanillo</t>
  </si>
  <si>
    <t>DELTA</t>
  </si>
  <si>
    <t>Saltillo</t>
  </si>
  <si>
    <t>Laem-Manzanillo (TNC)</t>
  </si>
  <si>
    <t>Puebla</t>
  </si>
  <si>
    <t>Nhava-Manzanillo</t>
  </si>
  <si>
    <t>Incheon-Manzanillo</t>
  </si>
  <si>
    <t>SHA-Manzanillo (Chao Li)</t>
  </si>
  <si>
    <t>FOB</t>
  </si>
  <si>
    <t>SHA-Manzanillo (Yangzhou)</t>
  </si>
  <si>
    <t>SHA-Manzanillo (Yuansheng)</t>
  </si>
  <si>
    <t>SHA-Manzanillo (Huafon Coil)</t>
  </si>
  <si>
    <t>SHA-Manzanillo (ABIC)</t>
  </si>
  <si>
    <t>SHA-Manzanillo (Boling)</t>
  </si>
  <si>
    <t>SHA-Manzanillo (AITD)</t>
  </si>
  <si>
    <t>Tianjin-Manzanillo</t>
  </si>
  <si>
    <t>AITD-Spring</t>
  </si>
  <si>
    <t>SHA-Manzanillo (Wuhu)</t>
  </si>
  <si>
    <t>SHA-Manzanillo (Yida)</t>
  </si>
  <si>
    <t>Zhejiang Yida</t>
  </si>
  <si>
    <t>SHA-Manzanillo (PMC)</t>
  </si>
  <si>
    <t>SHA-Manzanillo (Shenda)</t>
  </si>
  <si>
    <t>Lane</t>
  </si>
  <si>
    <t>POL</t>
  </si>
  <si>
    <t>POD</t>
  </si>
  <si>
    <t>Booking</t>
  </si>
  <si>
    <t>Doc</t>
  </si>
  <si>
    <t>THC</t>
  </si>
  <si>
    <t>Loading</t>
  </si>
  <si>
    <t>Customs</t>
  </si>
  <si>
    <t>B/L</t>
  </si>
  <si>
    <t>Sea Freight</t>
  </si>
  <si>
    <t>Transit Time</t>
  </si>
  <si>
    <t>Total (USD)</t>
  </si>
  <si>
    <t>35-45 days</t>
  </si>
  <si>
    <t>50-55 days</t>
  </si>
  <si>
    <t>25-30 days</t>
  </si>
  <si>
    <t>AINT - 666 Wenchang Rd, Tongzhou, Nantong</t>
  </si>
  <si>
    <t>AI Termal Sistemleri A.Ş., İstanbul</t>
  </si>
  <si>
    <t>SAI - 3 Gaobao Lake East Rd, Yubei, Chongqing</t>
  </si>
  <si>
    <t>AISH - 108 Chunguang Rd, Minhang, Shanghai</t>
  </si>
  <si>
    <t>AI Thermal Systems (Thailand), Chonburi</t>
  </si>
  <si>
    <t>SHA-Laem (Huafon)</t>
  </si>
  <si>
    <t>Shanghai Huafon Aluminium, Jinshan</t>
  </si>
  <si>
    <t>AITH, Rayong (WHA ESIE 1)</t>
  </si>
  <si>
    <t>Hyo Seong Electric (Tianjin)</t>
  </si>
  <si>
    <t>AITH, Chonburi</t>
  </si>
  <si>
    <t>OSE Industries LLC, Dubai</t>
  </si>
  <si>
    <t>AI Thermal (Slovakia) s.r.o., Nitra</t>
  </si>
  <si>
    <t>AIUS TOC c/o GTZ, McAllen TX 78503</t>
  </si>
  <si>
    <t>AIUS c/o FTZ Metro, Highland Park MI</t>
  </si>
  <si>
    <t>AIUS Baxter, Winchester TN 37398</t>
  </si>
  <si>
    <t>Divine &amp; Creative (India)</t>
  </si>
  <si>
    <t>AIUS Baxter, Winchester TN</t>
  </si>
  <si>
    <t>Delta Electronics (Thailand), Chachoengsao</t>
  </si>
  <si>
    <t>AINT - 666 Wenchang Rd, Nantong</t>
  </si>
  <si>
    <t>Woory Industrial, Yongin Korea</t>
  </si>
  <si>
    <t>Divine Tooling (India)</t>
  </si>
  <si>
    <t>AI Thermal (Slovakia), Nitra</t>
  </si>
  <si>
    <t>Delta Electronics (Thailand)</t>
  </si>
  <si>
    <t>Local Subtotal</t>
  </si>
  <si>
    <t>Dest Subtotal</t>
  </si>
  <si>
    <t>Winning Forwarder</t>
  </si>
  <si>
    <t>June. HQ40 Demand</t>
  </si>
  <si>
    <t>D2D Transit Time (Normal vessel)</t>
  </si>
  <si>
    <t>Sea Freight Cost (Normal Vessel)</t>
  </si>
  <si>
    <t>Forwarder   (Normal Vessel)</t>
  </si>
  <si>
    <t>Basic requirements</t>
  </si>
  <si>
    <t>竞标价为 after-tax</t>
  </si>
  <si>
    <t>Bestunit+Holiton</t>
  </si>
  <si>
    <t>分开招标</t>
  </si>
  <si>
    <t>KF</t>
  </si>
  <si>
    <t xml:space="preserve">1. Forwarder needs to contact with our designated US customs broker Rohlig for clearance. </t>
  </si>
  <si>
    <t>固定清关broker：Rohlig</t>
  </si>
  <si>
    <t xml:space="preserve">AISK </t>
  </si>
  <si>
    <t xml:space="preserve">1. Pre-classification HS CODE service
Attention: Woory's container type is 20GP, not 40HQ
</t>
  </si>
  <si>
    <t>Sea Freight Cost (Express Vessel)</t>
  </si>
  <si>
    <t>Forwarder      (Express Vessel)</t>
  </si>
  <si>
    <t xml:space="preserve">1. MBL must consignee directly to Forwarder and assignee all the shipments with FW. 
2. As the service is D2P, the MBL must be consigned to Local FW (TRANSLAQ).
3. Guarantee letter with every FW to avoid payment of guarantees. AIMX will not pay any guarantee.
4. The FW must finance the local charges at destination or assign a local forwarder. 
5. We need 21 free days of demurrages
6. Send Pre-alerts and documents once the vessel departs (Invoice, PL, BL, Freight cost, EIR). If the arrival notification is sent 1 week before the arrival of vessel, the additional costs will be charged directly to the Forwarder (Storages and demurrages)
7. Do Not ship our load in a reefer container, because the cost of guarantees is higher than the regular containers.
8. Assignee containers in good conditions to avoid payment of damage´s containers. 
9. Always send to us the EIR´S and pictures of container´s conditions that you place in origin with each supplier.
10. Able to combine light and heavy pallets from different suppliers into one container
11. SHA - MANZANILLO line only use express vessels and appointed shipping companies (Cosco, MSC, HPL, MSK, CMA)
12. 尽量两个 或者 双数货柜在同一条船里，节省码头调度费
13. 货代需免除or自垫押箱费。
</t>
  </si>
  <si>
    <t>固定清关broker：Enciso</t>
  </si>
  <si>
    <t>Jan. HQ40 Demand</t>
  </si>
  <si>
    <t xml:space="preserve">Sea Freight Cost(Normal Vessel) </t>
  </si>
  <si>
    <t xml:space="preserve">Forwarder </t>
  </si>
  <si>
    <t>1. Online tracking system
2. Only accept railway transportation from SAI to SHA port
3. Transit time should be between 8-10 weeks (any additional cost will be borne by the forwarder if vessel delayed more than 2 weeks)
4. No Israel vessels</t>
  </si>
  <si>
    <t>当地自行招标，结果需要低于招标价格。</t>
  </si>
  <si>
    <t xml:space="preserve">1. Delta transit time should be within 20 days after pickup. 
2. Woory transit time should be within 10 days after pickup.
3. Any additional cost will be borne by the forwarder if vessel delayed more than 7 days.
4. Pre-classification HS CODE service
</t>
  </si>
  <si>
    <t>D2P Transit Time</t>
  </si>
  <si>
    <t>45-50 days</t>
  </si>
  <si>
    <t>1. MBL must consignee directly to Forwarder and assignee all the shipments with FW. 
2. As the service is D2P, the MBL must be consigned to Local FW (TRANSLAQ).
3. Guarantee letter with every FW to avoid payment of guarantees. AIMX will not pay any guarantee.
4. The FW must finance the local charges at destination or assign a local forwarder. 
5. We need 21 free days of demurrages
6. Send Pre-alerts and documents once the vessel departs (Invoice, PL, BL, Freight cost, EIR). If the arrival notification is sent 1 week before the arrival of vessel, the additional costs will be charged directly to the Forwarder (Storages and demurrages)
7. Do Not ship our load in a reefer container, because the cost of guarantees is higher than the regular containers.
8. Assignee containers in good conditions to avoid payment of damage´s containers. 
9. Always send to us the EIR´S and pictures of container´s conditions that you place in origin with each supplier.
10. Able to combine light and heavy pallets from different suppliers into one container
11. SHA - MANZANILLO line only use express vessels and appointed shipping companies (Cosco, MSC, HPL, MSK, CMA)</t>
  </si>
  <si>
    <t>AI Thermal System, GTZ Warehouse, McAllen TX</t>
  </si>
  <si>
    <t>AI Thermal Systems, FTZ Metro Warehouse, Highland Park MI</t>
  </si>
  <si>
    <t>AI Thermal Systems (Thailand) Ltd., Rayong</t>
  </si>
  <si>
    <t>AI Thermal Systems, 466 Baxter Lane, Winchester TN</t>
  </si>
  <si>
    <t>Woory Industrial Co., Yongin Korea</t>
  </si>
  <si>
    <t>AI (Shanghai), Minhang</t>
  </si>
  <si>
    <t>AI Thermal Systems (Thailand), Rayong</t>
  </si>
  <si>
    <t>Booking Fee</t>
  </si>
  <si>
    <t>Doc Fee</t>
  </si>
  <si>
    <t>Dest Local Cost</t>
  </si>
  <si>
    <t>AIR INTERNATIONAL TERMAL SİSTEMLERİ A. Ş. ESENTEPE MAH. ALİ KAYA SK. POLAT PLAZA B BLOK NO: 1/1 İÇ KAPI NO:69 ŞİŞLİ/İSTANBUL</t>
  </si>
  <si>
    <t>Laemchabang-Manzanillo</t>
  </si>
  <si>
    <t>Manzanillo</t>
  </si>
  <si>
    <t>Nhava Sheva-Manzanillo</t>
  </si>
  <si>
    <t>Incheon</t>
  </si>
  <si>
    <t>SHA-Manzanillo</t>
  </si>
  <si>
    <t>Air International Thermal System-c/o GTZ WAREHOUSE LLC-662 SOUTH 33rd STREET, BUILDING-J, McALLEN, TX 78503</t>
  </si>
  <si>
    <t>AISH-108 Chunguang Road, Minhang District, Shanghai</t>
  </si>
  <si>
    <t>Air International Thermal Systems-c/o FTZ METRO WAREHOUSE-1200 E. McNICHOLS RD, HIGHLAND PARK, MI 48203</t>
  </si>
  <si>
    <t>Laem Chabang-Savanna</t>
  </si>
  <si>
    <t>Air International Thermal Systems 466 Baxter Lane Winchester, TN, USA, 37398</t>
  </si>
  <si>
    <t>Nhava Sheva-Savanna</t>
  </si>
  <si>
    <t>DELTA ELECTRONICS (THAILAND) PUBLIC COMPANY LIMITED 111 MOO 9, BANGNA-TRAD RD., TAMBOL BANGWUA AMPHUR BANGPAKONG CHACHOENGSAO, 24180 THAILAND</t>
  </si>
  <si>
    <t>Woory Industrial Co., Ltd #531, Jigok-dong, Kihung-gu Yongin-city, Kyonggi-Do, Korea</t>
  </si>
  <si>
    <t>SHA-Laemchabang</t>
  </si>
  <si>
    <t>Air International (Shanghai) Co., Ltd. No. 108 Chunguang Road, XinZhuang Industrial Zone, Minhang, Shanghai P.R. China 201108</t>
  </si>
  <si>
    <t>Air International Thermal Systems (Thailand) Ltd. 41/17,18,19 MOO 8, T.BOWIN, A.SRIRACHA, CHONBURI, 20230 THAILAND</t>
  </si>
  <si>
    <t>Shanghai Huafon Aluminium Corp. 1111# Yuegong Road, Jinshan District, Shanghai 201506</t>
  </si>
  <si>
    <t>Air International Thermal Systems (Thailand) Ltd. 500/46 Moo 3, WHA Eastern Seaboard Industrial Estate 1, T. Tasit, A. Pluekdaeng, Rayong 21140</t>
  </si>
  <si>
    <t>Tianjin-Laemchabang</t>
  </si>
  <si>
    <t>Hyo Seong Electric (Toanjin) Co., Ltd No.99, Xi San Dao, Tianjin Airport Industrial Park, TPFTZ, Tianjin, P.R. China</t>
  </si>
  <si>
    <t>Dubai-Laemchabang</t>
  </si>
  <si>
    <t>Laemchabang-Hamburg</t>
  </si>
  <si>
    <t>Air International Thermal (Slovakia) s.r.o. Prologis Park Nitra, DC3 Cez panske 4289/9, 949 01 Nitra, Slovakia</t>
  </si>
  <si>
    <t>AINT- 666 Wenchang Road, Tongzhou District, Nantong City, China</t>
  </si>
  <si>
    <t>Nhava Sheva-Hamburg</t>
  </si>
  <si>
    <t>Holiton 3 + Bestunit 15</t>
  </si>
  <si>
    <t>当地自行招标</t>
  </si>
  <si>
    <t>AI-Turkey | China → Turkey (Izmit) | 2 条航线 | 月需求 18 HQ40</t>
  </si>
  <si>
    <t>Holiton</t>
  </si>
  <si>
    <t>AIMX | China/Asia → Mexico (Manzanillo) | 15 条航线 | 月需求 33 HQ40</t>
  </si>
  <si>
    <t>AIUS | China/Asia/India → USA (HOU/Detroit/Savanna) | 5 条航线 | 月需求 10 HQ40</t>
  </si>
  <si>
    <t>AISH | Thailand/Korea → China (SHA) | 2 条航线 | 月需求 1 HQ40</t>
  </si>
  <si>
    <t>AITH | China/Asia/Middle East → Thailand (Laemchabang) | 5 条航线 | 月需求 11 HQ40 (泰国执行当地自己价格)</t>
  </si>
  <si>
    <t>AISK | China/India/Thailand → Slovakia (Hamburg) | 3 条航线 | 月需求 4.5 HQ40 (SK用HQ价格执行)</t>
  </si>
  <si>
    <t>Sea Freight Cost(Normal Vessel)</t>
  </si>
  <si>
    <t>Forwarder</t>
  </si>
  <si>
    <t>Bestunit/Holiton</t>
  </si>
  <si>
    <t>Superchain/Bondex</t>
  </si>
  <si>
    <t xml:space="preserve">1. Delta transit time should be within 20 days after pickup. 
2. Woory transit time should be within 10 days after pickup.
3. Any additional cost will be borne by the forwarder if vessel delayed more than 7 days.
4. Pre-classification HS CODE service
Woory改成20GP小柜子
</t>
  </si>
  <si>
    <t>Sea Freight Cost(Express Vessel)</t>
  </si>
  <si>
    <t>GTZ WAREHOUSE LLC, McALLEN, TX</t>
  </si>
  <si>
    <t>FTZ METRO WAREHOUSE, HIGHLAND PARK, MI</t>
  </si>
  <si>
    <t>AITH (Thailand)</t>
  </si>
  <si>
    <t>AIUS Baxter, Winchester, TN</t>
  </si>
  <si>
    <t>DELTA ELECTRONICS (Thailand)</t>
  </si>
  <si>
    <t>Woory Industrial, Korea</t>
  </si>
  <si>
    <t>AITH, Chonburi 20230 Thailand</t>
  </si>
  <si>
    <t>Shanghai Huafon Aluminium Corp.</t>
  </si>
  <si>
    <t>AITH, Rayong 21140 Thailand</t>
  </si>
  <si>
    <t>AISK, Nitra, Slovakia</t>
  </si>
  <si>
    <t>Divine Tooling</t>
  </si>
  <si>
    <t>March HQ40 Demand</t>
  </si>
  <si>
    <t xml:space="preserve">CW11 Holiton；
CW12 Bestunit；
CW13 BU 4 Ho 3；
</t>
  </si>
  <si>
    <t>CW11 Bestunit；
CW12 Bestunit；
CW13 Bestunit；</t>
  </si>
  <si>
    <t>Bondex/Bestunit</t>
  </si>
  <si>
    <t>Laemchabang-Manzanillo(Normal Vessel)</t>
  </si>
  <si>
    <t>Bangkok-Manzanillo(Normal Vessel)</t>
  </si>
  <si>
    <t>Nhava Sheva-Manzanillo(Normal Vessel)</t>
  </si>
  <si>
    <t>Incheon-Manzanillo(Normal Vessel)</t>
  </si>
  <si>
    <t>SHA-Manzanillo(Normal Vessel)</t>
  </si>
  <si>
    <t>Tianjin-Manzanillo(Normal Vessel)</t>
  </si>
  <si>
    <t>Laemchabang-Manzanillo(Express Vessel)</t>
  </si>
  <si>
    <t>Bangkok-Manzanillo(Express Vessel)</t>
  </si>
  <si>
    <t>Incheon-Manzanillo(Express Vessel)</t>
  </si>
  <si>
    <t>SHA-Manzanillo(Express Vessel)</t>
  </si>
  <si>
    <t>Tianjin-Manzanillo(Express Vessel)</t>
  </si>
  <si>
    <t>Holiton/Bestunit (CW11/12/13)</t>
  </si>
  <si>
    <t>—</t>
  </si>
  <si>
    <t>海运费</t>
  </si>
  <si>
    <t>货代</t>
  </si>
  <si>
    <t>Monthly HQ40 Demand</t>
  </si>
  <si>
    <t>Sea Freight Cost</t>
  </si>
  <si>
    <t>Local Price Door to door</t>
  </si>
  <si>
    <t>1. Online tracking system
2. Only accept railway transportation from SAI to SHA port
3. Transit time should be between 8-10 weeks (any additional cost will be borne by the forwarder if vessel delayed more than 2 weeks)</t>
  </si>
  <si>
    <t>美国线路需确认公司内部是否可以垫税，如可以则重新招标。</t>
  </si>
  <si>
    <t>当地招标价格低于HQ招标价格。</t>
  </si>
  <si>
    <t xml:space="preserve">1. Delta transit time should be within 18 days after pickup. 
2. Woory transit time should be within 12 days after pickup.
3. Any additional cost will be borne by the forwarder if vessel delayed more than 7 days.
4. Pre-classification HS CODE service
</t>
  </si>
  <si>
    <t>择优价+合并货代，选择宝优。</t>
  </si>
  <si>
    <t>Bestunit&amp;Superchain</t>
  </si>
  <si>
    <t xml:space="preserve">1. MBL must consignee directly to Forwarder and assignee all the shipments with FW. 
2. As the service is D2P, the MBL must be consigned to Local FW (TRANSLAQ).
3. Guarantee letter with every FW to avoid payment of guarantees. AIMX will not pay any guarantee.
4. The FW must finance the local charges at destination or assign a local forwarder. 
5. We need 21 free days of demurrages
6. Send Pre-alerts and documents once the vessel departs (Invoice, PL, BL, Freight cost, EIR). If the arrival notification is sent 1 week before the arrival of vessel, the additional costs will be charged directly to the Forwarder (Storages and demurrages)
7. Do Not ship our load in a reefer container, because the cost of guarantees is higher than the regular containers.
8. Assignee containers in good conditions to avoid payment of damage´s containers. 
9. Always send to us the EIR´S and pictures of container´s conditions that you place in origin with each supplier.
10. Able to combine light and heavy pallets from different suppliers into one container
</t>
  </si>
  <si>
    <t>Kaifu&amp;Freetrans</t>
  </si>
  <si>
    <t>Freetrans+KF,拼箱再看。</t>
  </si>
  <si>
    <t>注：Changsha Shenda货比较急，需要快船</t>
  </si>
  <si>
    <t>Freetrans/Kaifu</t>
  </si>
  <si>
    <t>&lt;18 days</t>
  </si>
  <si>
    <t>&lt;12 days</t>
  </si>
  <si>
    <t>Bestunit/Superchain</t>
  </si>
  <si>
    <t>发货人本地费用明细 (Fixed)</t>
  </si>
  <si>
    <t>收货人本地费用 (Variable)</t>
  </si>
  <si>
    <t>Q3 HQ40 需求数量</t>
  </si>
  <si>
    <t>CN local fee (Fixed)</t>
  </si>
  <si>
    <t>Destination local cost (Variable)</t>
  </si>
  <si>
    <t>Winning bid price (Vessel fee only)</t>
  </si>
  <si>
    <t>Awarded Fowarder</t>
  </si>
  <si>
    <t>Total amount</t>
  </si>
  <si>
    <t>AISK bid price</t>
  </si>
  <si>
    <t>泰国</t>
  </si>
  <si>
    <t>对账时提供依据</t>
  </si>
  <si>
    <t>local broker of Freetrans?</t>
  </si>
  <si>
    <t>第一中标货代为宝优，但由于Baxter三条线合并利于运营效率 以及价格相差很少 所以使用第二中标货代舫心</t>
  </si>
  <si>
    <t>鉴于去土耳其货柜数量较多，启用双货代增加运营容错率，将和第二中标货代舫心二次谈价，看能否和宝优差不多</t>
  </si>
  <si>
    <t>Ham (Germany)</t>
  </si>
  <si>
    <t>No online tracking system, only vessel portal (Requested by JR)</t>
  </si>
  <si>
    <t>泰国招标价格低于上海招标价，他们使用自己中标货代，每整柜Door to Door 价格为$1725</t>
  </si>
  <si>
    <t>泰国招标价格低于上海招标价，他们使用自己中标货代，每整柜Door to Door 价格为$1717</t>
  </si>
  <si>
    <t>泰国招标价格低于上海招标价，他们使用自己中标货代，每整柜Door to Door 价格为$2062</t>
  </si>
  <si>
    <t>泰国招标价格低于上海招标价，他们使用自己中标货代，每整柜Door to Door 价格为$1956</t>
  </si>
  <si>
    <t>Cargo</t>
  </si>
  <si>
    <t>AITH-AISK这条线将使用泰国自己招标货代，每整柜Door to Door 价格为$6000</t>
  </si>
  <si>
    <t>Bokang  （FOB SHANGHAI）</t>
  </si>
  <si>
    <t>有拼柜时，提货local的费用按实际拼柜合并计算</t>
  </si>
  <si>
    <t>Ganglong (EXW SHANGHAI)</t>
  </si>
  <si>
    <t>PMC （EXW NANJING）</t>
  </si>
  <si>
    <t>Chongqing Boling （EXW CHONGQING）</t>
  </si>
  <si>
    <t>Huafeng (EXW SHANGHAI)</t>
  </si>
  <si>
    <t>Xinrui (EXW SHAOXING)</t>
  </si>
  <si>
    <t>AITD (EXW NANTONG)</t>
  </si>
  <si>
    <t>Q3 HQ40 Demand</t>
  </si>
  <si>
    <t>AI Termal Sistemleri A.Ş., Kocaeli/Izmit</t>
  </si>
  <si>
    <t>AIMX Manzanillo Port</t>
  </si>
  <si>
    <t>Creative Component, Pune, India</t>
  </si>
  <si>
    <t>Dalian-Manzanillo</t>
  </si>
  <si>
    <t>Dalian Aibike Air Conditioning Parts</t>
  </si>
  <si>
    <t>SHA-Manzanillo (Bokang)</t>
  </si>
  <si>
    <t>Bokang (FOB Shanghai)</t>
  </si>
  <si>
    <t>SHA-Manzanillo (Ganglong)</t>
  </si>
  <si>
    <t>Ganglong (EXW Shanghai)</t>
  </si>
  <si>
    <t>PMC (EXW Nanjing)</t>
  </si>
  <si>
    <t>Chongqing Boling (EXW Chongqing)</t>
  </si>
  <si>
    <t>SHA-Manzanillo (Huafeng)</t>
  </si>
  <si>
    <t>Huafeng (EXW Shanghai)</t>
  </si>
  <si>
    <t>SHA-Manzanillo (Xinrui)</t>
  </si>
  <si>
    <t>Xinrui (EXW Shaoxing)</t>
  </si>
  <si>
    <t>AITD (EXW Nantong)</t>
  </si>
  <si>
    <t>GTZ Warehouse, McAllen, TX</t>
  </si>
  <si>
    <t>FTZ Metro Warehouse, Highland Park, MI</t>
  </si>
  <si>
    <t>Divine &amp; Creative, India</t>
  </si>
  <si>
    <t>Laem-SHA</t>
  </si>
  <si>
    <t>Geodis (泰本地 $1725)</t>
  </si>
  <si>
    <t>Geodis (泰本地 $1717)</t>
  </si>
  <si>
    <t>Geodis (泰本地 $2062)</t>
  </si>
  <si>
    <t>Geodis (泰本地 $1956)</t>
  </si>
  <si>
    <t>AITH-AISK (泰国本地)</t>
  </si>
  <si>
    <t>Cargo (泰本地 $6000)</t>
  </si>
  <si>
    <t>SHA-Koper</t>
  </si>
  <si>
    <t>Nhava-Koper</t>
  </si>
  <si>
    <t>AI-Turkey   |   Turkey (Izmit)   |   2 条航线   |   月需求 20 HQ40</t>
  </si>
  <si>
    <t>AIMX   |   Mexico (Manzanillo)   |   17 条航线   |   月需求 31 HQ40</t>
  </si>
  <si>
    <t>AIUS   |   USA (HOU / Detroit / Savanna)   |   5 条航线   |   月需求 14 HQ40</t>
  </si>
  <si>
    <t>AISH   |   Asia → SHA (inbound)   |   2 条航线   |   月需求 3 HQ40</t>
  </si>
  <si>
    <t>AITH   |   Thailand (Laemchabang)   |   5 条航线   |   月需求 11 HQ40</t>
  </si>
  <si>
    <t>AISK   |   Slovakia (Hamburg)   |   3 条航线   |   月需求 3.5 HQ40</t>
  </si>
  <si>
    <t>AI-Turkey   |   Turkey (Izmit)   |   2 条航线   |   月需求 9 HQ40</t>
  </si>
  <si>
    <t>AIMX   |   Mexico (Manzanillo)   |   17 条航线   |   月需求 15.5 HQ40</t>
  </si>
  <si>
    <t>AIUS   |   USA (HOU / Detroit / Savanna)   |   5 条航线   |   月需求 3.5 HQ40</t>
  </si>
  <si>
    <t>AISH   |   Asia → SHA (inbound)   |   2 条航线   |   月需求 2 HQ40</t>
  </si>
  <si>
    <t>AITH   |   Thailand (Laemchabang)   |   5 条航线   |   月需求 4.5 HQ40</t>
  </si>
  <si>
    <t>AISK   |   Slovakia (Hamburg)   |   3 条航线   |   月需求 2 HQ40</t>
  </si>
  <si>
    <t>AI-Turkey   |   Turkey (Izmit)   |   2 条航线   |   月需求 22 HQ40</t>
  </si>
  <si>
    <t>AIUS   |   USA (HOU / Detroit / Savanna)   |   5 条航线   |   月需求 11 HQ40</t>
  </si>
  <si>
    <t>AI-Turkey   |   Turkey (Izmit)   |   2 条航线   |   月需求 19 HQ40</t>
  </si>
  <si>
    <t>AIUS   |   USA (HOU / Detroit / Savanna)   |   5 条航线   |   月需求 8 HQ40</t>
  </si>
  <si>
    <t>AISH   |   Asia → SHA (inbound)   |   2 条航线   |   月需求 6 HQ40</t>
  </si>
  <si>
    <t>AI-Turkey   |   Turkey (Izmit)   |   2 条航线   |   月需求 26 HQ40</t>
  </si>
  <si>
    <t>AIMX   |   Mexico (Manzanillo)   |   15 条航线   |   月需求 35 HQ40</t>
  </si>
  <si>
    <t>AISH   |   Asia → SHA (inbound)   |   2 条航线   |   月需求 4 HQ40</t>
  </si>
  <si>
    <t>AISK   |   Slovakia (Hamburg)   |   3 条航线   |   月需求 4.5 HQ40</t>
  </si>
  <si>
    <t>AI-Turkey   |   Turkey (Izmit)   |   2 条航线   |   月需求 18 HQ40</t>
  </si>
  <si>
    <t>AIMX   |   Mexico (Manzanillo)   |   15 条航线   |   月需求 34 HQ40</t>
  </si>
  <si>
    <t>AIUS   |   USA (HOU / Detroit / Savanna)   |   5 条航线   |   月需求 10 HQ40</t>
  </si>
  <si>
    <t>AISH   |   Asia → SHA (inbound)   |   2 条航线   |   月需求 1 HQ40</t>
  </si>
  <si>
    <t>AIMX   |   Mexico (Manzanillo)   |   15 条航线   |   月需求 31 HQ40</t>
  </si>
  <si>
    <t>AIUS   |   USA (HOU / Detroit / Savanna)   |   5 条航线   |   月需求 12 HQ40</t>
  </si>
  <si>
    <t>AIMX   |   Mexico (Manzanillo)   |   16 条航线   |   月需求 31 HQ40</t>
  </si>
  <si>
    <t>AI-Turkey   |   Turkey (Izmit)   |   2 条航线   |   Q3 季需求 50 HQ40</t>
  </si>
  <si>
    <t>AIMX   |   Mexico (Manzanillo)   |   12 条航线   |   Q3 季需求 69 HQ40</t>
  </si>
  <si>
    <t>AIUS   |   USA (HOU / Detroit / Savanna)   |   5 条航线   |   Q3 季需求 31 HQ40</t>
  </si>
  <si>
    <t>AISH   |   Asia → SHA (inbound)   |   2 条航线   |   Q3 季需求 22 HQ40</t>
  </si>
  <si>
    <t>AITH   |   Thailand (Laemchabang)   |   4 条航线   |   Q3 季需求 21 HQ40</t>
  </si>
  <si>
    <t>AISK   |   Slovakia (Hamburg)   |   3 条航线   |   Q3 季需求 15 HQ40</t>
  </si>
  <si>
    <t>报价总价比价</t>
  </si>
  <si>
    <t>Contact</t>
  </si>
  <si>
    <t>Volumn/Q2</t>
  </si>
  <si>
    <t>凯福</t>
  </si>
  <si>
    <t>宝优</t>
  </si>
  <si>
    <t>舫心</t>
  </si>
  <si>
    <t>睿弘</t>
  </si>
  <si>
    <t>DSV</t>
  </si>
  <si>
    <t>华洋</t>
  </si>
  <si>
    <t>青岛中外运</t>
  </si>
  <si>
    <t>Q1 2025货代</t>
  </si>
  <si>
    <t>Q1 2025价格</t>
  </si>
  <si>
    <t>Kevin</t>
  </si>
  <si>
    <t>Dilek Elmaser Polat</t>
  </si>
  <si>
    <t>仅海运费比价</t>
  </si>
  <si>
    <t>报价总价比价 (Q2 招标)</t>
  </si>
  <si>
    <t>Transport</t>
  </si>
  <si>
    <t>Volume/Q2</t>
  </si>
  <si>
    <t>AI-Turkey   |   Turkey (Izmit)   |   Q2 招标</t>
  </si>
  <si>
    <t>D2D</t>
  </si>
  <si>
    <t>AIMX   |   Mexico (Manzanillo)   |   Q2 招标</t>
  </si>
  <si>
    <t>AINT - 666 Wenchang Rd</t>
  </si>
  <si>
    <t>Creative Components, India</t>
  </si>
  <si>
    <t>AIUS   |   USA (HOU / Detroit / Savanna)   |   Q2 招标</t>
  </si>
  <si>
    <t>AIUS</t>
  </si>
  <si>
    <t>AISH - 108 Chunguang Rd</t>
  </si>
  <si>
    <t>FTZ Metro Warehouse, MI</t>
  </si>
  <si>
    <t>AISH   |   Asia → SHA (inbound)   |   Q2 招标</t>
  </si>
  <si>
    <t>AITH   |   Thailand (Laemchabang)   |   Q2 招标</t>
  </si>
  <si>
    <t>Pornsuda</t>
  </si>
  <si>
    <t>AITH, Chonburi Thailand</t>
  </si>
  <si>
    <t>Shanghai Huafon Aluminium</t>
  </si>
  <si>
    <t>AITH, Rayong Thailand</t>
  </si>
  <si>
    <t>OSE Industries, Dubai</t>
  </si>
  <si>
    <t>AISK   |   Slovakia (Hamburg)   |   Q2 招标</t>
  </si>
  <si>
    <t>仅海运费比价 (Q2 招标)</t>
  </si>
  <si>
    <t>5+5</t>
  </si>
  <si>
    <t>BU + Holiton</t>
  </si>
  <si>
    <t>2+1</t>
  </si>
  <si>
    <t>BU / CW17</t>
  </si>
  <si>
    <t>1+1</t>
  </si>
  <si>
    <t>Bondex / CW17</t>
  </si>
  <si>
    <t>宇航</t>
  </si>
  <si>
    <t>AI-Turkey   |   Turkey (Izmit)   |   2 条航线   |   两周需求 13 HQ40 (5+5 / 2+1)</t>
  </si>
  <si>
    <t>AI-Turkey   |   Turkey (Izmit)   |   2 条航线   |   两周需求 12 HQ40 (5+5 / 1+1)</t>
  </si>
  <si>
    <t>航线</t>
  </si>
  <si>
    <r>
      <rPr>
        <b/>
        <sz val="15"/>
        <color rgb="FFFFFFFF"/>
        <rFont val="Noto Sans CJK SC"/>
        <family val="2"/>
      </rPr>
      <t xml:space="preserve">国际海运费用招标价格环比分析（含布伦特原油联动）  </t>
    </r>
    <r>
      <rPr>
        <b/>
        <sz val="15"/>
        <color rgb="FFFFFFFF"/>
        <rFont val="Arial"/>
        <family val="2"/>
      </rPr>
      <t>2025</t>
    </r>
    <r>
      <rPr>
        <b/>
        <sz val="15"/>
        <color rgb="FFFFFFFF"/>
        <rFont val="Noto Sans CJK SC"/>
        <family val="2"/>
      </rPr>
      <t>年</t>
    </r>
    <r>
      <rPr>
        <b/>
        <sz val="15"/>
        <color rgb="FFFFFFFF"/>
        <rFont val="Arial"/>
        <family val="2"/>
      </rPr>
      <t>7</t>
    </r>
    <r>
      <rPr>
        <b/>
        <sz val="15"/>
        <color rgb="FFFFFFFF"/>
        <rFont val="Noto Sans CJK SC"/>
        <family val="2"/>
      </rPr>
      <t xml:space="preserve">月 — </t>
    </r>
    <r>
      <rPr>
        <b/>
        <sz val="15"/>
        <color rgb="FFFFFFFF"/>
        <rFont val="Arial"/>
        <family val="2"/>
      </rPr>
      <t>2026</t>
    </r>
    <r>
      <rPr>
        <b/>
        <sz val="15"/>
        <color rgb="FFFFFFFF"/>
        <rFont val="Noto Sans CJK SC"/>
        <family val="2"/>
      </rPr>
      <t>年</t>
    </r>
    <r>
      <rPr>
        <b/>
        <sz val="15"/>
        <color rgb="FFFFFFFF"/>
        <rFont val="Arial"/>
        <family val="2"/>
      </rPr>
      <t>6</t>
    </r>
    <r>
      <rPr>
        <b/>
        <sz val="15"/>
        <color rgb="FFFFFFFF"/>
        <rFont val="Noto Sans CJK SC"/>
        <family val="2"/>
      </rPr>
      <t>月</t>
    </r>
  </si>
  <si>
    <r>
      <rPr>
        <sz val="9"/>
        <color rgb="FF555555"/>
        <rFont val="Noto Sans CJK SC"/>
        <family val="2"/>
      </rPr>
      <t xml:space="preserve">数据来源：公司内部招标记录  </t>
    </r>
    <r>
      <rPr>
        <sz val="9"/>
        <color rgb="FF555555"/>
        <rFont val="Arial"/>
        <family val="2"/>
      </rPr>
      <t xml:space="preserve">|  </t>
    </r>
    <r>
      <rPr>
        <sz val="9"/>
        <color rgb="FF555555"/>
        <rFont val="Noto Sans CJK SC"/>
        <family val="2"/>
      </rPr>
      <t>布伦特原油：</t>
    </r>
    <r>
      <rPr>
        <sz val="9"/>
        <color rgb="FF555555"/>
        <rFont val="Arial"/>
        <family val="2"/>
      </rPr>
      <t xml:space="preserve">IMF FRED / EIA STEO  |  </t>
    </r>
    <r>
      <rPr>
        <sz val="9"/>
        <color rgb="FF555555"/>
        <rFont val="Noto Sans CJK SC"/>
        <family val="2"/>
      </rPr>
      <t xml:space="preserve">单位：海运费 </t>
    </r>
    <r>
      <rPr>
        <sz val="9"/>
        <color rgb="FF555555"/>
        <rFont val="Arial"/>
        <family val="2"/>
      </rPr>
      <t>USD/FEU</t>
    </r>
    <r>
      <rPr>
        <sz val="9"/>
        <color rgb="FF555555"/>
        <rFont val="Noto Sans CJK SC"/>
        <family val="2"/>
      </rPr>
      <t xml:space="preserve">（仅海运费，不含本地操作费）  </t>
    </r>
    <r>
      <rPr>
        <sz val="9"/>
        <color rgb="FF555555"/>
        <rFont val="Arial"/>
        <family val="2"/>
      </rPr>
      <t xml:space="preserve">|  </t>
    </r>
    <r>
      <rPr>
        <sz val="9"/>
        <color rgb="FF555555"/>
        <rFont val="Noto Sans CJK SC"/>
        <family val="2"/>
      </rPr>
      <t xml:space="preserve">原油 </t>
    </r>
    <r>
      <rPr>
        <sz val="9"/>
        <color rgb="FF555555"/>
        <rFont val="Arial"/>
        <family val="2"/>
      </rPr>
      <t>USD/</t>
    </r>
    <r>
      <rPr>
        <sz val="9"/>
        <color rgb="FF555555"/>
        <rFont val="Noto Sans CJK SC"/>
        <family val="2"/>
      </rPr>
      <t>桶月均价</t>
    </r>
  </si>
  <si>
    <r>
      <rPr>
        <b/>
        <sz val="9"/>
        <color rgb="FFFFFFFF"/>
        <rFont val="Noto Sans CJK SC"/>
        <family val="2"/>
      </rPr>
      <t xml:space="preserve">航线 </t>
    </r>
    <r>
      <rPr>
        <b/>
        <sz val="9"/>
        <color rgb="FFFFFFFF"/>
        <rFont val="Arial"/>
        <family val="2"/>
      </rPr>
      <t xml:space="preserve">/ </t>
    </r>
    <r>
      <rPr>
        <b/>
        <sz val="9"/>
        <color rgb="FFFFFFFF"/>
        <rFont val="Noto Sans CJK SC"/>
        <family val="2"/>
      </rPr>
      <t>子航线</t>
    </r>
  </si>
  <si>
    <t>类别</t>
  </si>
  <si>
    <t>Jul-Aug 2025</t>
  </si>
  <si>
    <t>Sep 2025</t>
  </si>
  <si>
    <t>Oct 2025</t>
  </si>
  <si>
    <t>Nov 2025</t>
  </si>
  <si>
    <t>Dec 2025</t>
  </si>
  <si>
    <t>Jan 2026</t>
  </si>
  <si>
    <t>Feb 2026</t>
  </si>
  <si>
    <t>Mar 2026</t>
  </si>
  <si>
    <t>3.30-4.12 2026</t>
  </si>
  <si>
    <t>4.13-4.26 2026</t>
  </si>
  <si>
    <t>May 2026</t>
  </si>
  <si>
    <t>Jun 2026</t>
  </si>
  <si>
    <t>期间
均值</t>
  </si>
  <si>
    <t>Jun'26
vs Jul-Aug'25</t>
  </si>
  <si>
    <t>近期趋势</t>
  </si>
  <si>
    <r>
      <rPr>
        <b/>
        <sz val="10"/>
        <color rgb="FFFFFFFF"/>
        <rFont val="Noto Sans CJK SC"/>
        <family val="2"/>
      </rPr>
      <t xml:space="preserve">🛢  布伦特原油 </t>
    </r>
    <r>
      <rPr>
        <b/>
        <sz val="10"/>
        <color rgb="FFFFFFFF"/>
        <rFont val="Arial"/>
        <family val="2"/>
      </rPr>
      <t>(USD/bbl)</t>
    </r>
  </si>
  <si>
    <t>参考</t>
  </si>
  <si>
    <r>
      <rPr>
        <b/>
        <sz val="10"/>
        <color rgb="FFFFFFFF"/>
        <rFont val="Noto Sans CJK SC"/>
        <family val="2"/>
      </rPr>
      <t xml:space="preserve">🇹🇷 地中海航线 — </t>
    </r>
    <r>
      <rPr>
        <b/>
        <sz val="10"/>
        <color rgb="FFFFFFFF"/>
        <rFont val="Arial"/>
        <family val="2"/>
      </rPr>
      <t>SHA → Izmit (</t>
    </r>
    <r>
      <rPr>
        <b/>
        <sz val="10"/>
        <color rgb="FFFFFFFF"/>
        <rFont val="Noto Sans CJK SC"/>
        <family val="2"/>
      </rPr>
      <t>土耳其</t>
    </r>
    <r>
      <rPr>
        <b/>
        <sz val="10"/>
        <color rgb="FFFFFFFF"/>
        <rFont val="Arial"/>
        <family val="2"/>
      </rPr>
      <t>)</t>
    </r>
  </si>
  <si>
    <r>
      <rPr>
        <sz val="9"/>
        <color rgb="FF1B3A6B"/>
        <rFont val="Arial"/>
        <family val="2"/>
      </rPr>
      <t xml:space="preserve">  AINT</t>
    </r>
    <r>
      <rPr>
        <sz val="9"/>
        <color rgb="FF1B3A6B"/>
        <rFont val="Noto Sans CJK SC"/>
        <family val="2"/>
      </rPr>
      <t>南通→</t>
    </r>
    <r>
      <rPr>
        <sz val="9"/>
        <color rgb="FF1B3A6B"/>
        <rFont val="Arial"/>
        <family val="2"/>
      </rPr>
      <t>Izmit (AI-Turkey·DAP)</t>
    </r>
  </si>
  <si>
    <r>
      <rPr>
        <sz val="9"/>
        <color rgb="FF555555"/>
        <rFont val="Arial"/>
        <family val="2"/>
      </rPr>
      <t>⚠ 6</t>
    </r>
    <r>
      <rPr>
        <sz val="9"/>
        <color rgb="FF555555"/>
        <rFont val="Noto Sans CJK SC"/>
        <family val="2"/>
      </rPr>
      <t>月急涨</t>
    </r>
    <r>
      <rPr>
        <sz val="9"/>
        <color rgb="FF555555"/>
        <rFont val="Arial"/>
        <family val="2"/>
      </rPr>
      <t>+72%</t>
    </r>
  </si>
  <si>
    <r>
      <rPr>
        <sz val="9"/>
        <color rgb="FF1B3A6B"/>
        <rFont val="Arial"/>
        <family val="2"/>
      </rPr>
      <t xml:space="preserve">  SAI</t>
    </r>
    <r>
      <rPr>
        <sz val="9"/>
        <color rgb="FF1B3A6B"/>
        <rFont val="Noto Sans CJK SC"/>
        <family val="2"/>
      </rPr>
      <t>重庆→</t>
    </r>
    <r>
      <rPr>
        <sz val="9"/>
        <color rgb="FF1B3A6B"/>
        <rFont val="Arial"/>
        <family val="2"/>
      </rPr>
      <t>Izmit (EXW)</t>
    </r>
  </si>
  <si>
    <t>↗ 持续高位</t>
  </si>
  <si>
    <r>
      <rPr>
        <b/>
        <sz val="10"/>
        <color rgb="FFFFFFFF"/>
        <rFont val="Noto Sans CJK SC"/>
        <family val="2"/>
      </rPr>
      <t xml:space="preserve">🇺🇸 美东航线 — </t>
    </r>
    <r>
      <rPr>
        <b/>
        <sz val="10"/>
        <color rgb="FFFFFFFF"/>
        <rFont val="Arial"/>
        <family val="2"/>
      </rPr>
      <t xml:space="preserve">SHA / LCB / NSA → </t>
    </r>
    <r>
      <rPr>
        <b/>
        <sz val="10"/>
        <color rgb="FFFFFFFF"/>
        <rFont val="Noto Sans CJK SC"/>
        <family val="2"/>
      </rPr>
      <t>美国各港</t>
    </r>
  </si>
  <si>
    <t xml:space="preserve">  SHA→Houston (AIUS TOC·EXW)</t>
  </si>
  <si>
    <r>
      <rPr>
        <sz val="9"/>
        <color rgb="FF555555"/>
        <rFont val="Arial"/>
        <family val="2"/>
      </rPr>
      <t>↗ 6</t>
    </r>
    <r>
      <rPr>
        <sz val="9"/>
        <color rgb="FF555555"/>
        <rFont val="Noto Sans CJK SC"/>
        <family val="2"/>
      </rPr>
      <t>月</t>
    </r>
    <r>
      <rPr>
        <sz val="9"/>
        <color rgb="FF555555"/>
        <rFont val="Arial"/>
        <family val="2"/>
      </rPr>
      <t>$4,800</t>
    </r>
  </si>
  <si>
    <t xml:space="preserve">  SHA→Detroit (AISH·EXW)</t>
  </si>
  <si>
    <r>
      <rPr>
        <sz val="9"/>
        <color rgb="FF555555"/>
        <rFont val="Arial"/>
        <family val="2"/>
      </rPr>
      <t>↗ 6</t>
    </r>
    <r>
      <rPr>
        <sz val="9"/>
        <color rgb="FF555555"/>
        <rFont val="Noto Sans CJK SC"/>
        <family val="2"/>
      </rPr>
      <t>月</t>
    </r>
    <r>
      <rPr>
        <sz val="9"/>
        <color rgb="FF555555"/>
        <rFont val="Arial"/>
        <family val="2"/>
      </rPr>
      <t>$5,800</t>
    </r>
  </si>
  <si>
    <t xml:space="preserve">  LCB→Savanna (AIUS Baxter·EXW)</t>
  </si>
  <si>
    <r>
      <rPr>
        <sz val="9"/>
        <color rgb="FF555555"/>
        <rFont val="Arial"/>
        <family val="2"/>
      </rPr>
      <t>↗ 6</t>
    </r>
    <r>
      <rPr>
        <sz val="9"/>
        <color rgb="FF555555"/>
        <rFont val="Noto Sans CJK SC"/>
        <family val="2"/>
      </rPr>
      <t>月</t>
    </r>
    <r>
      <rPr>
        <sz val="9"/>
        <color rgb="FF555555"/>
        <rFont val="Arial"/>
        <family val="2"/>
      </rPr>
      <t>$5,300</t>
    </r>
  </si>
  <si>
    <t xml:space="preserve">  NSA→Savanna (Divine·EXW)</t>
  </si>
  <si>
    <r>
      <rPr>
        <sz val="9"/>
        <color rgb="FF555555"/>
        <rFont val="Arial"/>
        <family val="2"/>
      </rPr>
      <t>↗ 6</t>
    </r>
    <r>
      <rPr>
        <sz val="9"/>
        <color rgb="FF555555"/>
        <rFont val="Noto Sans CJK SC"/>
        <family val="2"/>
      </rPr>
      <t>月</t>
    </r>
    <r>
      <rPr>
        <sz val="9"/>
        <color rgb="FF555555"/>
        <rFont val="Arial"/>
        <family val="2"/>
      </rPr>
      <t>$5,200</t>
    </r>
  </si>
  <si>
    <r>
      <rPr>
        <sz val="9"/>
        <color rgb="FF2E6DB4"/>
        <rFont val="Arial"/>
        <family val="2"/>
      </rPr>
      <t xml:space="preserve">  SHA→Savanna (AINT</t>
    </r>
    <r>
      <rPr>
        <sz val="9"/>
        <color rgb="FF2E6DB4"/>
        <rFont val="Noto Sans CJK SC"/>
        <family val="2"/>
      </rPr>
      <t>南通</t>
    </r>
    <r>
      <rPr>
        <sz val="9"/>
        <color rgb="FF2E6DB4"/>
        <rFont val="Arial"/>
        <family val="2"/>
      </rPr>
      <t>·EXW)</t>
    </r>
  </si>
  <si>
    <r>
      <rPr>
        <b/>
        <sz val="10"/>
        <color rgb="FFFFFFFF"/>
        <rFont val="Noto Sans CJK SC"/>
        <family val="2"/>
      </rPr>
      <t xml:space="preserve">🇪🇺 欧洲航线 — </t>
    </r>
    <r>
      <rPr>
        <b/>
        <sz val="10"/>
        <color rgb="FFFFFFFF"/>
        <rFont val="Arial"/>
        <family val="2"/>
      </rPr>
      <t>SHA / NSA / BKK → Hamburg/Koper (</t>
    </r>
    <r>
      <rPr>
        <b/>
        <sz val="10"/>
        <color rgb="FFFFFFFF"/>
        <rFont val="Noto Sans CJK SC"/>
        <family val="2"/>
      </rPr>
      <t>斯洛伐克</t>
    </r>
    <r>
      <rPr>
        <b/>
        <sz val="10"/>
        <color rgb="FFFFFFFF"/>
        <rFont val="Arial"/>
        <family val="2"/>
      </rPr>
      <t>)</t>
    </r>
  </si>
  <si>
    <t xml:space="preserve">  SHA→Hamburg (AISK·EXW)</t>
  </si>
  <si>
    <r>
      <rPr>
        <sz val="9"/>
        <color rgb="FF555555"/>
        <rFont val="Arial"/>
        <family val="2"/>
      </rPr>
      <t>↗ 6</t>
    </r>
    <r>
      <rPr>
        <sz val="9"/>
        <color rgb="FF555555"/>
        <rFont val="Noto Sans CJK SC"/>
        <family val="2"/>
      </rPr>
      <t>月</t>
    </r>
    <r>
      <rPr>
        <sz val="9"/>
        <color rgb="FF555555"/>
        <rFont val="Arial"/>
        <family val="2"/>
      </rPr>
      <t>$3,500</t>
    </r>
  </si>
  <si>
    <t xml:space="preserve">  NSA→Hamburg (Divine tooling·EXW)</t>
  </si>
  <si>
    <t>→ 数据有缺</t>
  </si>
  <si>
    <t xml:space="preserve">  BKK→Hamburg (Delta Electronics·EXW)</t>
  </si>
  <si>
    <t>→ 基本平稳</t>
  </si>
  <si>
    <t xml:space="preserve">  LCB→Hamburg (AITH→AISK·DDP)</t>
  </si>
  <si>
    <r>
      <rPr>
        <sz val="9"/>
        <color rgb="FF555555"/>
        <rFont val="Arial"/>
        <family val="2"/>
      </rPr>
      <t>↗ 6</t>
    </r>
    <r>
      <rPr>
        <sz val="9"/>
        <color rgb="FF555555"/>
        <rFont val="Noto Sans CJK SC"/>
        <family val="2"/>
      </rPr>
      <t>月</t>
    </r>
    <r>
      <rPr>
        <sz val="9"/>
        <color rgb="FF555555"/>
        <rFont val="Arial"/>
        <family val="2"/>
      </rPr>
      <t>$3,380</t>
    </r>
  </si>
  <si>
    <r>
      <rPr>
        <b/>
        <sz val="10"/>
        <color rgb="FFFFFFFF"/>
        <rFont val="Noto Sans CJK SC"/>
        <family val="2"/>
      </rPr>
      <t xml:space="preserve">🇹🇭 东南亚航线 — </t>
    </r>
    <r>
      <rPr>
        <b/>
        <sz val="10"/>
        <color rgb="FFFFFFFF"/>
        <rFont val="Arial"/>
        <family val="2"/>
      </rPr>
      <t>SHA / TJ / Dubai → Laemchabang (</t>
    </r>
    <r>
      <rPr>
        <b/>
        <sz val="10"/>
        <color rgb="FFFFFFFF"/>
        <rFont val="Noto Sans CJK SC"/>
        <family val="2"/>
      </rPr>
      <t>泰国</t>
    </r>
    <r>
      <rPr>
        <b/>
        <sz val="10"/>
        <color rgb="FFFFFFFF"/>
        <rFont val="Arial"/>
        <family val="2"/>
      </rPr>
      <t>)</t>
    </r>
  </si>
  <si>
    <t xml:space="preserve">  SHA→Laemchabang (AITH·EXW)</t>
  </si>
  <si>
    <t>↗ 持续上涨</t>
  </si>
  <si>
    <r>
      <rPr>
        <sz val="9"/>
        <color rgb="FF148F77"/>
        <rFont val="Arial"/>
        <family val="2"/>
      </rPr>
      <t xml:space="preserve">  SHA→Laemchabang (</t>
    </r>
    <r>
      <rPr>
        <sz val="9"/>
        <color rgb="FF148F77"/>
        <rFont val="Noto Sans CJK SC"/>
        <family val="2"/>
      </rPr>
      <t>华封铝业</t>
    </r>
    <r>
      <rPr>
        <sz val="9"/>
        <color rgb="FF148F77"/>
        <rFont val="Arial"/>
        <family val="2"/>
      </rPr>
      <t>·EXW)</t>
    </r>
  </si>
  <si>
    <r>
      <rPr>
        <sz val="9"/>
        <color rgb="FF148F77"/>
        <rFont val="Arial"/>
        <family val="2"/>
      </rPr>
      <t xml:space="preserve">  TJ→Laemchabang (</t>
    </r>
    <r>
      <rPr>
        <sz val="9"/>
        <color rgb="FF148F77"/>
        <rFont val="Noto Sans CJK SC"/>
        <family val="2"/>
      </rPr>
      <t>效圣电</t>
    </r>
    <r>
      <rPr>
        <sz val="9"/>
        <color rgb="FF148F77"/>
        <rFont val="Arial"/>
        <family val="2"/>
      </rPr>
      <t>·EXW)</t>
    </r>
  </si>
  <si>
    <r>
      <rPr>
        <sz val="9"/>
        <color rgb="FF555555"/>
        <rFont val="Noto Sans CJK SC"/>
        <family val="2"/>
      </rPr>
      <t>↗ 涨至</t>
    </r>
    <r>
      <rPr>
        <sz val="9"/>
        <color rgb="FF555555"/>
        <rFont val="Arial"/>
        <family val="2"/>
      </rPr>
      <t>$1,600</t>
    </r>
  </si>
  <si>
    <t xml:space="preserve">  Dubai→Laemchabang (OSE·EXW)</t>
  </si>
  <si>
    <t>— 数据不全</t>
  </si>
  <si>
    <r>
      <rPr>
        <b/>
        <sz val="10"/>
        <color rgb="FFFFFFFF"/>
        <rFont val="Noto Sans CJK SC"/>
        <family val="2"/>
      </rPr>
      <t xml:space="preserve">🇲🇽 墨西哥航线 — </t>
    </r>
    <r>
      <rPr>
        <b/>
        <sz val="10"/>
        <color rgb="FFFFFFFF"/>
        <rFont val="Arial"/>
        <family val="2"/>
      </rPr>
      <t>LCB / BKK / SHA / NSA / ICN → Manzanillo</t>
    </r>
  </si>
  <si>
    <t xml:space="preserve">  LCB→Manzanillo (AIMX·AITH·CIF)</t>
  </si>
  <si>
    <t xml:space="preserve">  BKK→Manzanillo (Delta·CIF)</t>
  </si>
  <si>
    <r>
      <rPr>
        <sz val="9"/>
        <color rgb="FF555555"/>
        <rFont val="Arial"/>
        <family val="2"/>
      </rPr>
      <t>⚠ 6</t>
    </r>
    <r>
      <rPr>
        <sz val="9"/>
        <color rgb="FF555555"/>
        <rFont val="Noto Sans CJK SC"/>
        <family val="2"/>
      </rPr>
      <t>月急涨</t>
    </r>
  </si>
  <si>
    <t xml:space="preserve">  LCB→Manzanillo (TNC·CIF)</t>
  </si>
  <si>
    <t xml:space="preserve">  NSA→Manzanillo (Creative·CIF)</t>
  </si>
  <si>
    <r>
      <rPr>
        <sz val="9"/>
        <color rgb="FF555555"/>
        <rFont val="Arial"/>
        <family val="2"/>
      </rPr>
      <t>⚠ 6</t>
    </r>
    <r>
      <rPr>
        <sz val="9"/>
        <color rgb="FF555555"/>
        <rFont val="Noto Sans CJK SC"/>
        <family val="2"/>
      </rPr>
      <t>月</t>
    </r>
    <r>
      <rPr>
        <sz val="9"/>
        <color rgb="FF555555"/>
        <rFont val="Arial"/>
        <family val="2"/>
      </rPr>
      <t>$4,500</t>
    </r>
  </si>
  <si>
    <t xml:space="preserve">  ICN→Manzanillo (Woory·CIF)</t>
  </si>
  <si>
    <r>
      <rPr>
        <sz val="9"/>
        <color rgb="FF555555"/>
        <rFont val="Arial"/>
        <family val="2"/>
      </rPr>
      <t>⚠ 6</t>
    </r>
    <r>
      <rPr>
        <sz val="9"/>
        <color rgb="FF555555"/>
        <rFont val="Noto Sans CJK SC"/>
        <family val="2"/>
      </rPr>
      <t>月</t>
    </r>
    <r>
      <rPr>
        <sz val="9"/>
        <color rgb="FF555555"/>
        <rFont val="Arial"/>
        <family val="2"/>
      </rPr>
      <t>$5,440</t>
    </r>
  </si>
  <si>
    <r>
      <rPr>
        <sz val="9"/>
        <color rgb="FFC0392B"/>
        <rFont val="Arial"/>
        <family val="2"/>
      </rPr>
      <t xml:space="preserve">  SHA→Manzanillo (</t>
    </r>
    <r>
      <rPr>
        <sz val="9"/>
        <color rgb="FFC0392B"/>
        <rFont val="Noto Sans CJK SC"/>
        <family val="2"/>
      </rPr>
      <t>多供应商均价</t>
    </r>
    <r>
      <rPr>
        <sz val="9"/>
        <color rgb="FFC0392B"/>
        <rFont val="Arial"/>
        <family val="2"/>
      </rPr>
      <t>·CIF)</t>
    </r>
  </si>
  <si>
    <r>
      <rPr>
        <sz val="9"/>
        <color rgb="FF555555"/>
        <rFont val="Arial"/>
        <family val="2"/>
      </rPr>
      <t>⚠ 6</t>
    </r>
    <r>
      <rPr>
        <sz val="9"/>
        <color rgb="FF555555"/>
        <rFont val="Noto Sans CJK SC"/>
        <family val="2"/>
      </rPr>
      <t>月</t>
    </r>
    <r>
      <rPr>
        <sz val="9"/>
        <color rgb="FF555555"/>
        <rFont val="Arial"/>
        <family val="2"/>
      </rPr>
      <t>$4,520</t>
    </r>
  </si>
  <si>
    <t xml:space="preserve">  TJ→Manzanillo (AITD-Spring·CIF)</t>
  </si>
  <si>
    <r>
      <rPr>
        <b/>
        <sz val="10"/>
        <color rgb="FFFFFFFF"/>
        <rFont val="Noto Sans CJK SC"/>
        <family val="2"/>
      </rPr>
      <t>🔄 回程</t>
    </r>
    <r>
      <rPr>
        <b/>
        <sz val="10"/>
        <color rgb="FFFFFFFF"/>
        <rFont val="Arial"/>
        <family val="2"/>
      </rPr>
      <t>/</t>
    </r>
    <r>
      <rPr>
        <b/>
        <sz val="10"/>
        <color rgb="FFFFFFFF"/>
        <rFont val="Noto Sans CJK SC"/>
        <family val="2"/>
      </rPr>
      <t xml:space="preserve">短途航线 — </t>
    </r>
    <r>
      <rPr>
        <b/>
        <sz val="10"/>
        <color rgb="FFFFFFFF"/>
        <rFont val="Arial"/>
        <family val="2"/>
      </rPr>
      <t>BKK / ICN → SHA</t>
    </r>
  </si>
  <si>
    <t xml:space="preserve">  BKK→SHA (Delta Electronics·EXW)</t>
  </si>
  <si>
    <r>
      <rPr>
        <sz val="9"/>
        <color rgb="FF555555"/>
        <rFont val="Noto Sans CJK SC"/>
        <family val="2"/>
      </rPr>
      <t>— 免费</t>
    </r>
    <r>
      <rPr>
        <sz val="9"/>
        <color rgb="FF555555"/>
        <rFont val="Arial"/>
        <family val="2"/>
      </rPr>
      <t>/</t>
    </r>
    <r>
      <rPr>
        <sz val="9"/>
        <color rgb="FF555555"/>
        <rFont val="Noto Sans CJK SC"/>
        <family val="2"/>
      </rPr>
      <t>象征</t>
    </r>
  </si>
  <si>
    <t xml:space="preserve">  ICN→SHA (Woory·EXW)</t>
  </si>
  <si>
    <r>
      <rPr>
        <b/>
        <sz val="11"/>
        <color rgb="FFFFFFFF"/>
        <rFont val="Noto Sans CJK SC"/>
        <family val="2"/>
      </rPr>
      <t>▌ 二、代表性航线环比变动（各期对比上期，</t>
    </r>
    <r>
      <rPr>
        <b/>
        <sz val="11"/>
        <color rgb="FFFFFFFF"/>
        <rFont val="Arial"/>
        <family val="2"/>
      </rPr>
      <t>%</t>
    </r>
    <r>
      <rPr>
        <b/>
        <sz val="11"/>
        <color rgb="FFFFFFFF"/>
        <rFont val="Noto Sans CJK SC"/>
        <family val="2"/>
      </rPr>
      <t>）</t>
    </r>
  </si>
  <si>
    <t>方向</t>
  </si>
  <si>
    <t>SHA→Izmit (AINT)</t>
  </si>
  <si>
    <t>环比</t>
  </si>
  <si>
    <t>SHA→Houston (AIUS TOC)</t>
  </si>
  <si>
    <t>LCB→Savanna (Baxter)</t>
  </si>
  <si>
    <t>SHA→Hamburg (AISK)</t>
  </si>
  <si>
    <t>SHA→Laemchabang (AITH)</t>
  </si>
  <si>
    <t>LCB→Manzanillo (AIMX)</t>
  </si>
  <si>
    <r>
      <rPr>
        <b/>
        <sz val="9"/>
        <color rgb="FF7B241C"/>
        <rFont val="Arial"/>
        <family val="2"/>
      </rPr>
      <t>SHA→Manzanillo (</t>
    </r>
    <r>
      <rPr>
        <b/>
        <sz val="9"/>
        <color rgb="FF7B241C"/>
        <rFont val="Noto Sans CJK SC"/>
        <family val="2"/>
      </rPr>
      <t>均价</t>
    </r>
    <r>
      <rPr>
        <b/>
        <sz val="9"/>
        <color rgb="FF7B241C"/>
        <rFont val="Arial"/>
        <family val="2"/>
      </rPr>
      <t>)</t>
    </r>
  </si>
  <si>
    <t>▌ 三、布伦特原油联动分析</t>
  </si>
  <si>
    <r>
      <rPr>
        <b/>
        <sz val="10"/>
        <color rgb="FF6C3483"/>
        <rFont val="Arial"/>
        <family val="2"/>
      </rPr>
      <t>📉 2025</t>
    </r>
    <r>
      <rPr>
        <b/>
        <sz val="10"/>
        <color rgb="FF6C3483"/>
        <rFont val="Noto Sans CJK SC"/>
        <family val="2"/>
      </rPr>
      <t>下半年：原油下行驱动运价探底</t>
    </r>
  </si>
  <si>
    <r>
      <rPr>
        <sz val="10"/>
        <color rgb="FF1C2833"/>
        <rFont val="Noto Sans CJK SC"/>
        <family val="2"/>
      </rPr>
      <t>布伦特期货月均价从</t>
    </r>
    <r>
      <rPr>
        <sz val="10"/>
        <color rgb="FF1C2833"/>
        <rFont val="Arial"/>
        <family val="2"/>
      </rPr>
      <t>2025</t>
    </r>
    <r>
      <rPr>
        <sz val="10"/>
        <color rgb="FF1C2833"/>
        <rFont val="Noto Sans CJK SC"/>
        <family val="2"/>
      </rPr>
      <t>年</t>
    </r>
    <r>
      <rPr>
        <sz val="10"/>
        <color rgb="FF1C2833"/>
        <rFont val="Arial"/>
        <family val="2"/>
      </rPr>
      <t>7</t>
    </r>
    <r>
      <rPr>
        <sz val="10"/>
        <color rgb="FF1C2833"/>
        <rFont val="Noto Sans CJK SC"/>
        <family val="2"/>
      </rPr>
      <t>月</t>
    </r>
    <r>
      <rPr>
        <sz val="10"/>
        <color rgb="FF1C2833"/>
        <rFont val="Arial"/>
        <family val="2"/>
      </rPr>
      <t>$70.00/bbl</t>
    </r>
    <r>
      <rPr>
        <sz val="10"/>
        <color rgb="FF1C2833"/>
        <rFont val="Noto Sans CJK SC"/>
        <family val="2"/>
      </rPr>
      <t>下滑至</t>
    </r>
    <r>
      <rPr>
        <sz val="10"/>
        <color rgb="FF1C2833"/>
        <rFont val="Arial"/>
        <family val="2"/>
      </rPr>
      <t>12</t>
    </r>
    <r>
      <rPr>
        <sz val="10"/>
        <color rgb="FF1C2833"/>
        <rFont val="Noto Sans CJK SC"/>
        <family val="2"/>
      </rPr>
      <t>月</t>
    </r>
    <r>
      <rPr>
        <sz val="10"/>
        <color rgb="FF1C2833"/>
        <rFont val="Arial"/>
        <family val="2"/>
      </rPr>
      <t>$63.00/bbl</t>
    </r>
    <r>
      <rPr>
        <sz val="10"/>
        <color rgb="FF1C2833"/>
        <rFont val="Noto Sans CJK SC"/>
        <family val="2"/>
      </rPr>
      <t>（跌幅</t>
    </r>
    <r>
      <rPr>
        <sz val="10"/>
        <color rgb="FF1C2833"/>
        <rFont val="Arial"/>
        <family val="2"/>
      </rPr>
      <t>-10%</t>
    </r>
    <r>
      <rPr>
        <sz val="10"/>
        <color rgb="FF1C2833"/>
        <rFont val="Noto Sans CJK SC"/>
        <family val="2"/>
      </rPr>
      <t>），全年均价</t>
    </r>
    <r>
      <rPr>
        <sz val="10"/>
        <color rgb="FF1C2833"/>
        <rFont val="Arial"/>
        <family val="2"/>
      </rPr>
      <t>$69/bbl</t>
    </r>
    <r>
      <rPr>
        <sz val="10"/>
        <color rgb="FF1C2833"/>
        <rFont val="Noto Sans CJK SC"/>
        <family val="2"/>
      </rPr>
      <t>为</t>
    </r>
    <r>
      <rPr>
        <sz val="10"/>
        <color rgb="FF1C2833"/>
        <rFont val="Arial"/>
        <family val="2"/>
      </rPr>
      <t>2020</t>
    </r>
    <r>
      <rPr>
        <sz val="10"/>
        <color rgb="FF1C2833"/>
        <rFont val="Noto Sans CJK SC"/>
        <family val="2"/>
      </rPr>
      <t>年以来最低（</t>
    </r>
    <r>
      <rPr>
        <sz val="10"/>
        <color rgb="FF1C2833"/>
        <rFont val="Arial"/>
        <family val="2"/>
      </rPr>
      <t>EIA</t>
    </r>
    <r>
      <rPr>
        <sz val="10"/>
        <color rgb="FF1C2833"/>
        <rFont val="Noto Sans CJK SC"/>
        <family val="2"/>
      </rPr>
      <t>官方数据）。运价同步走低：土耳其线从</t>
    </r>
    <r>
      <rPr>
        <sz val="10"/>
        <color rgb="FF1C2833"/>
        <rFont val="Arial"/>
        <family val="2"/>
      </rPr>
      <t>7-8</t>
    </r>
    <r>
      <rPr>
        <sz val="10"/>
        <color rgb="FF1C2833"/>
        <rFont val="Noto Sans CJK SC"/>
        <family val="2"/>
      </rPr>
      <t>月</t>
    </r>
    <r>
      <rPr>
        <sz val="10"/>
        <color rgb="FF1C2833"/>
        <rFont val="Arial"/>
        <family val="2"/>
      </rPr>
      <t>$3,480</t>
    </r>
    <r>
      <rPr>
        <sz val="10"/>
        <color rgb="FF1C2833"/>
        <rFont val="Noto Sans CJK SC"/>
        <family val="2"/>
      </rPr>
      <t>跌至</t>
    </r>
    <r>
      <rPr>
        <sz val="10"/>
        <color rgb="FF1C2833"/>
        <rFont val="Arial"/>
        <family val="2"/>
      </rPr>
      <t>11</t>
    </r>
    <r>
      <rPr>
        <sz val="10"/>
        <color rgb="FF1C2833"/>
        <rFont val="Noto Sans CJK SC"/>
        <family val="2"/>
      </rPr>
      <t>月</t>
    </r>
    <r>
      <rPr>
        <sz val="10"/>
        <color rgb="FF1C2833"/>
        <rFont val="Arial"/>
        <family val="2"/>
      </rPr>
      <t>$2,145</t>
    </r>
    <r>
      <rPr>
        <sz val="10"/>
        <color rgb="FF1C2833"/>
        <rFont val="Noto Sans CJK SC"/>
        <family val="2"/>
      </rPr>
      <t>（</t>
    </r>
    <r>
      <rPr>
        <sz val="10"/>
        <color rgb="FF1C2833"/>
        <rFont val="Arial"/>
        <family val="2"/>
      </rPr>
      <t>-38%</t>
    </r>
    <r>
      <rPr>
        <sz val="10"/>
        <color rgb="FF1C2833"/>
        <rFont val="Noto Sans CJK SC"/>
        <family val="2"/>
      </rPr>
      <t>）；墨西哥</t>
    </r>
    <r>
      <rPr>
        <sz val="10"/>
        <color rgb="FF1C2833"/>
        <rFont val="Arial"/>
        <family val="2"/>
      </rPr>
      <t>LCB</t>
    </r>
    <r>
      <rPr>
        <sz val="10"/>
        <color rgb="FF1C2833"/>
        <rFont val="Noto Sans CJK SC"/>
        <family val="2"/>
      </rPr>
      <t>线从</t>
    </r>
    <r>
      <rPr>
        <sz val="10"/>
        <color rgb="FF1C2833"/>
        <rFont val="Arial"/>
        <family val="2"/>
      </rPr>
      <t>$3,500</t>
    </r>
    <r>
      <rPr>
        <sz val="10"/>
        <color rgb="FF1C2833"/>
        <rFont val="Noto Sans CJK SC"/>
        <family val="2"/>
      </rPr>
      <t>跌至</t>
    </r>
    <r>
      <rPr>
        <sz val="10"/>
        <color rgb="FF1C2833"/>
        <rFont val="Arial"/>
        <family val="2"/>
      </rPr>
      <t>2026</t>
    </r>
    <r>
      <rPr>
        <sz val="10"/>
        <color rgb="FF1C2833"/>
        <rFont val="Noto Sans CJK SC"/>
        <family val="2"/>
      </rPr>
      <t>年</t>
    </r>
    <r>
      <rPr>
        <sz val="10"/>
        <color rgb="FF1C2833"/>
        <rFont val="Arial"/>
        <family val="2"/>
      </rPr>
      <t>2</t>
    </r>
    <r>
      <rPr>
        <sz val="10"/>
        <color rgb="FF1C2833"/>
        <rFont val="Noto Sans CJK SC"/>
        <family val="2"/>
      </rPr>
      <t>月</t>
    </r>
    <r>
      <rPr>
        <sz val="10"/>
        <color rgb="FF1C2833"/>
        <rFont val="Arial"/>
        <family val="2"/>
      </rPr>
      <t>$1,200</t>
    </r>
    <r>
      <rPr>
        <sz val="10"/>
        <color rgb="FF1C2833"/>
        <rFont val="Noto Sans CJK SC"/>
        <family val="2"/>
      </rPr>
      <t>（</t>
    </r>
    <r>
      <rPr>
        <sz val="10"/>
        <color rgb="FF1C2833"/>
        <rFont val="Arial"/>
        <family val="2"/>
      </rPr>
      <t>-66%</t>
    </r>
    <r>
      <rPr>
        <sz val="10"/>
        <color rgb="FF1C2833"/>
        <rFont val="Noto Sans CJK SC"/>
        <family val="2"/>
      </rPr>
      <t>）；美东</t>
    </r>
    <r>
      <rPr>
        <sz val="10"/>
        <color rgb="FF1C2833"/>
        <rFont val="Arial"/>
        <family val="2"/>
      </rPr>
      <t>Savanna</t>
    </r>
    <r>
      <rPr>
        <sz val="10"/>
        <color rgb="FF1C2833"/>
        <rFont val="Noto Sans CJK SC"/>
        <family val="2"/>
      </rPr>
      <t>线从</t>
    </r>
    <r>
      <rPr>
        <sz val="10"/>
        <color rgb="FF1C2833"/>
        <rFont val="Arial"/>
        <family val="2"/>
      </rPr>
      <t>$6,182</t>
    </r>
    <r>
      <rPr>
        <sz val="10"/>
        <color rgb="FF1C2833"/>
        <rFont val="Noto Sans CJK SC"/>
        <family val="2"/>
      </rPr>
      <t>跌至</t>
    </r>
    <r>
      <rPr>
        <sz val="10"/>
        <color rgb="FF1C2833"/>
        <rFont val="Arial"/>
        <family val="2"/>
      </rPr>
      <t>12</t>
    </r>
    <r>
      <rPr>
        <sz val="10"/>
        <color rgb="FF1C2833"/>
        <rFont val="Noto Sans CJK SC"/>
        <family val="2"/>
      </rPr>
      <t>月</t>
    </r>
    <r>
      <rPr>
        <sz val="10"/>
        <color rgb="FF1C2833"/>
        <rFont val="Arial"/>
        <family val="2"/>
      </rPr>
      <t>$1,900</t>
    </r>
    <r>
      <rPr>
        <sz val="10"/>
        <color rgb="FF1C2833"/>
        <rFont val="Noto Sans CJK SC"/>
        <family val="2"/>
      </rPr>
      <t>（</t>
    </r>
    <r>
      <rPr>
        <sz val="10"/>
        <color rgb="FF1C2833"/>
        <rFont val="Arial"/>
        <family val="2"/>
      </rPr>
      <t>-69%</t>
    </r>
    <r>
      <rPr>
        <sz val="10"/>
        <color rgb="FF1C2833"/>
        <rFont val="Noto Sans CJK SC"/>
        <family val="2"/>
      </rPr>
      <t>）。原油通过</t>
    </r>
    <r>
      <rPr>
        <sz val="10"/>
        <color rgb="FF1C2833"/>
        <rFont val="Arial"/>
        <family val="2"/>
      </rPr>
      <t>BAF/LSS</t>
    </r>
    <r>
      <rPr>
        <sz val="10"/>
        <color rgb="FF1C2833"/>
        <rFont val="Noto Sans CJK SC"/>
        <family val="2"/>
      </rPr>
      <t>燃油附加费影响运价，传导滞后约</t>
    </r>
    <r>
      <rPr>
        <sz val="10"/>
        <color rgb="FF1C2833"/>
        <rFont val="Arial"/>
        <family val="2"/>
      </rPr>
      <t>3-6</t>
    </r>
    <r>
      <rPr>
        <sz val="10"/>
        <color rgb="FF1C2833"/>
        <rFont val="Noto Sans CJK SC"/>
        <family val="2"/>
      </rPr>
      <t>周。</t>
    </r>
  </si>
  <si>
    <r>
      <rPr>
        <b/>
        <sz val="10"/>
        <color rgb="FF6C3483"/>
        <rFont val="Arial"/>
        <family val="2"/>
      </rPr>
      <t>📈 2026</t>
    </r>
    <r>
      <rPr>
        <b/>
        <sz val="10"/>
        <color rgb="FF6C3483"/>
        <rFont val="Noto Sans CJK SC"/>
        <family val="2"/>
      </rPr>
      <t>年</t>
    </r>
    <r>
      <rPr>
        <b/>
        <sz val="10"/>
        <color rgb="FF6C3483"/>
        <rFont val="Arial"/>
        <family val="2"/>
      </rPr>
      <t>1-2</t>
    </r>
    <r>
      <rPr>
        <b/>
        <sz val="10"/>
        <color rgb="FF6C3483"/>
        <rFont val="Noto Sans CJK SC"/>
        <family val="2"/>
      </rPr>
      <t>月：油价小幅回升，运价底部震荡</t>
    </r>
  </si>
  <si>
    <r>
      <rPr>
        <sz val="10"/>
        <color rgb="FF1C2833"/>
        <rFont val="Arial"/>
        <family val="2"/>
      </rPr>
      <t>2026</t>
    </r>
    <r>
      <rPr>
        <sz val="10"/>
        <color rgb="FF1C2833"/>
        <rFont val="Noto Sans CJK SC"/>
        <family val="2"/>
      </rPr>
      <t>年</t>
    </r>
    <r>
      <rPr>
        <sz val="10"/>
        <color rgb="FF1C2833"/>
        <rFont val="Arial"/>
        <family val="2"/>
      </rPr>
      <t>1</t>
    </r>
    <r>
      <rPr>
        <sz val="10"/>
        <color rgb="FF1C2833"/>
        <rFont val="Noto Sans CJK SC"/>
        <family val="2"/>
      </rPr>
      <t>月布伦特</t>
    </r>
    <r>
      <rPr>
        <sz val="10"/>
        <color rgb="FF1C2833"/>
        <rFont val="Arial"/>
        <family val="2"/>
      </rPr>
      <t>$64.59/bbl</t>
    </r>
    <r>
      <rPr>
        <sz val="10"/>
        <color rgb="FF1C2833"/>
        <rFont val="Noto Sans CJK SC"/>
        <family val="2"/>
      </rPr>
      <t>（</t>
    </r>
    <r>
      <rPr>
        <sz val="10"/>
        <color rgb="FF1C2833"/>
        <rFont val="Arial"/>
        <family val="2"/>
      </rPr>
      <t>FRED</t>
    </r>
    <r>
      <rPr>
        <sz val="10"/>
        <color rgb="FF1C2833"/>
        <rFont val="Noto Sans CJK SC"/>
        <family val="2"/>
      </rPr>
      <t>实测），</t>
    </r>
    <r>
      <rPr>
        <sz val="10"/>
        <color rgb="FF1C2833"/>
        <rFont val="Arial"/>
        <family val="2"/>
      </rPr>
      <t>2</t>
    </r>
    <r>
      <rPr>
        <sz val="10"/>
        <color rgb="FF1C2833"/>
        <rFont val="Noto Sans CJK SC"/>
        <family val="2"/>
      </rPr>
      <t>月</t>
    </r>
    <r>
      <rPr>
        <sz val="10"/>
        <color rgb="FF1C2833"/>
        <rFont val="Arial"/>
        <family val="2"/>
      </rPr>
      <t>$69.41/bbl</t>
    </r>
    <r>
      <rPr>
        <sz val="10"/>
        <color rgb="FF1C2833"/>
        <rFont val="Noto Sans CJK SC"/>
        <family val="2"/>
      </rPr>
      <t>，各航线运价从底部小幅反弹。美东线</t>
    </r>
    <r>
      <rPr>
        <sz val="10"/>
        <color rgb="FF1C2833"/>
        <rFont val="Arial"/>
        <family val="2"/>
      </rPr>
      <t>1</t>
    </r>
    <r>
      <rPr>
        <sz val="10"/>
        <color rgb="FF1C2833"/>
        <rFont val="Noto Sans CJK SC"/>
        <family val="2"/>
      </rPr>
      <t>月</t>
    </r>
    <r>
      <rPr>
        <sz val="10"/>
        <color rgb="FF1C2833"/>
        <rFont val="Arial"/>
        <family val="2"/>
      </rPr>
      <t>$2,390→2</t>
    </r>
    <r>
      <rPr>
        <sz val="10"/>
        <color rgb="FF1C2833"/>
        <rFont val="Noto Sans CJK SC"/>
        <family val="2"/>
      </rPr>
      <t>月</t>
    </r>
    <r>
      <rPr>
        <sz val="10"/>
        <color rgb="FF1C2833"/>
        <rFont val="Arial"/>
        <family val="2"/>
      </rPr>
      <t>$2,450</t>
    </r>
    <r>
      <rPr>
        <sz val="10"/>
        <color rgb="FF1C2833"/>
        <rFont val="Noto Sans CJK SC"/>
        <family val="2"/>
      </rPr>
      <t>，欧洲线</t>
    </r>
    <r>
      <rPr>
        <sz val="10"/>
        <color rgb="FF1C2833"/>
        <rFont val="Arial"/>
        <family val="2"/>
      </rPr>
      <t>2</t>
    </r>
    <r>
      <rPr>
        <sz val="10"/>
        <color rgb="FF1C2833"/>
        <rFont val="Noto Sans CJK SC"/>
        <family val="2"/>
      </rPr>
      <t>月升至</t>
    </r>
    <r>
      <rPr>
        <sz val="10"/>
        <color rgb="FF1C2833"/>
        <rFont val="Arial"/>
        <family val="2"/>
      </rPr>
      <t>$2,750</t>
    </r>
    <r>
      <rPr>
        <sz val="10"/>
        <color rgb="FF1C2833"/>
        <rFont val="Noto Sans CJK SC"/>
        <family val="2"/>
      </rPr>
      <t>，东南亚线持续爬升（</t>
    </r>
    <r>
      <rPr>
        <sz val="10"/>
        <color rgb="FF1C2833"/>
        <rFont val="Arial"/>
        <family val="2"/>
      </rPr>
      <t>SHA→LCB</t>
    </r>
    <r>
      <rPr>
        <sz val="10"/>
        <color rgb="FF1C2833"/>
        <rFont val="Noto Sans CJK SC"/>
        <family val="2"/>
      </rPr>
      <t>从</t>
    </r>
    <r>
      <rPr>
        <sz val="10"/>
        <color rgb="FF1C2833"/>
        <rFont val="Arial"/>
        <family val="2"/>
      </rPr>
      <t>$495</t>
    </r>
    <r>
      <rPr>
        <sz val="10"/>
        <color rgb="FF1C2833"/>
        <rFont val="Noto Sans CJK SC"/>
        <family val="2"/>
      </rPr>
      <t>涨至</t>
    </r>
    <r>
      <rPr>
        <sz val="10"/>
        <color rgb="FF1C2833"/>
        <rFont val="Arial"/>
        <family val="2"/>
      </rPr>
      <t>$750</t>
    </r>
    <r>
      <rPr>
        <sz val="10"/>
        <color rgb="FF1C2833"/>
        <rFont val="Noto Sans CJK SC"/>
        <family val="2"/>
      </rPr>
      <t>）。</t>
    </r>
    <r>
      <rPr>
        <sz val="10"/>
        <color rgb="FF1C2833"/>
        <rFont val="Arial"/>
        <family val="2"/>
      </rPr>
      <t>SHA→Manzanillo 2</t>
    </r>
    <r>
      <rPr>
        <sz val="10"/>
        <color rgb="FF1C2833"/>
        <rFont val="Noto Sans CJK SC"/>
        <family val="2"/>
      </rPr>
      <t>月触及历史低位</t>
    </r>
    <r>
      <rPr>
        <sz val="10"/>
        <color rgb="FF1C2833"/>
        <rFont val="Arial"/>
        <family val="2"/>
      </rPr>
      <t>$1,200</t>
    </r>
    <r>
      <rPr>
        <sz val="10"/>
        <color rgb="FF1C2833"/>
        <rFont val="Noto Sans CJK SC"/>
        <family val="2"/>
      </rPr>
      <t>后即开始反弹。</t>
    </r>
  </si>
  <si>
    <t>$2,200</t>
  </si>
  <si>
    <t>$3,500</t>
  </si>
  <si>
    <t>$2,500</t>
  </si>
  <si>
    <r>
      <rPr>
        <b/>
        <sz val="9"/>
        <color rgb="FF2E6DB4"/>
        <rFont val="Arial"/>
        <family val="2"/>
      </rPr>
      <t>SHA→Detroit (</t>
    </r>
    <r>
      <rPr>
        <b/>
        <sz val="9"/>
        <color rgb="FF2E6DB4"/>
        <rFont val="Noto Sans CJK SC"/>
        <family val="2"/>
      </rPr>
      <t>美东</t>
    </r>
    <r>
      <rPr>
        <b/>
        <sz val="9"/>
        <color rgb="FF2E6DB4"/>
        <rFont val="Arial"/>
        <family val="2"/>
      </rPr>
      <t>AISH)</t>
    </r>
  </si>
  <si>
    <t>$5,800</t>
  </si>
  <si>
    <t>$2,800</t>
  </si>
  <si>
    <t>$3,800</t>
  </si>
  <si>
    <t>$5,000</t>
  </si>
  <si>
    <r>
      <rPr>
        <sz val="9"/>
        <color rgb="FF1A1A1A"/>
        <rFont val="Noto Sans CJK SC"/>
        <family val="2"/>
      </rPr>
      <t>季节性</t>
    </r>
    <r>
      <rPr>
        <sz val="9"/>
        <color rgb="FF1A1A1A"/>
        <rFont val="Arial"/>
        <family val="2"/>
      </rPr>
      <t>+</t>
    </r>
    <r>
      <rPr>
        <sz val="9"/>
        <color rgb="FF1A1A1A"/>
        <rFont val="Noto Sans CJK SC"/>
        <family val="2"/>
      </rPr>
      <t>汽车供应链</t>
    </r>
  </si>
  <si>
    <t>关税变化</t>
  </si>
  <si>
    <t>$5,300</t>
  </si>
  <si>
    <r>
      <rPr>
        <sz val="9"/>
        <color rgb="FF1A1A1A"/>
        <rFont val="Noto Sans CJK SC"/>
        <family val="2"/>
      </rPr>
      <t>旺季</t>
    </r>
    <r>
      <rPr>
        <sz val="9"/>
        <color rgb="FF1A1A1A"/>
        <rFont val="Arial"/>
        <family val="2"/>
      </rPr>
      <t>+</t>
    </r>
    <r>
      <rPr>
        <sz val="9"/>
        <color rgb="FF1A1A1A"/>
        <rFont val="Noto Sans CJK SC"/>
        <family val="2"/>
      </rPr>
      <t>关税</t>
    </r>
  </si>
  <si>
    <t>泰国工厂产量</t>
  </si>
  <si>
    <r>
      <rPr>
        <b/>
        <sz val="9"/>
        <color rgb="FF1E8449"/>
        <rFont val="Arial"/>
        <family val="2"/>
      </rPr>
      <t>SHA→Hamburg (AISK·</t>
    </r>
    <r>
      <rPr>
        <b/>
        <sz val="9"/>
        <color rgb="FF1E8449"/>
        <rFont val="Noto Sans CJK SC"/>
        <family val="2"/>
      </rPr>
      <t>欧洲</t>
    </r>
    <r>
      <rPr>
        <b/>
        <sz val="9"/>
        <color rgb="FF1E8449"/>
        <rFont val="Arial"/>
        <family val="2"/>
      </rPr>
      <t>)</t>
    </r>
  </si>
  <si>
    <t>$1,800</t>
  </si>
  <si>
    <t>欧洲需求复苏</t>
  </si>
  <si>
    <r>
      <rPr>
        <sz val="9"/>
        <color rgb="FF1A1A1A"/>
        <rFont val="Noto Sans CJK SC"/>
        <family val="2"/>
      </rPr>
      <t>欧元汇率</t>
    </r>
    <r>
      <rPr>
        <sz val="9"/>
        <color rgb="FF1A1A1A"/>
        <rFont val="Arial"/>
        <family val="2"/>
      </rPr>
      <t>+</t>
    </r>
    <r>
      <rPr>
        <sz val="9"/>
        <color rgb="FF1A1A1A"/>
        <rFont val="Noto Sans CJK SC"/>
        <family val="2"/>
      </rPr>
      <t>红海</t>
    </r>
  </si>
  <si>
    <r>
      <rPr>
        <b/>
        <sz val="9"/>
        <color rgb="FF148F77"/>
        <rFont val="Arial"/>
        <family val="2"/>
      </rPr>
      <t>SHA→Laemchabang (</t>
    </r>
    <r>
      <rPr>
        <b/>
        <sz val="9"/>
        <color rgb="FF148F77"/>
        <rFont val="Noto Sans CJK SC"/>
        <family val="2"/>
      </rPr>
      <t>东南亚</t>
    </r>
    <r>
      <rPr>
        <b/>
        <sz val="9"/>
        <color rgb="FF148F77"/>
        <rFont val="Arial"/>
        <family val="2"/>
      </rPr>
      <t>)</t>
    </r>
  </si>
  <si>
    <t>$1,340</t>
  </si>
  <si>
    <t>$1,000</t>
  </si>
  <si>
    <t>$1,400</t>
  </si>
  <si>
    <t>$2,000</t>
  </si>
  <si>
    <t>区域需求增长</t>
  </si>
  <si>
    <r>
      <rPr>
        <sz val="9"/>
        <color rgb="FF1A1A1A"/>
        <rFont val="Arial"/>
        <family val="2"/>
      </rPr>
      <t>THB</t>
    </r>
    <r>
      <rPr>
        <sz val="9"/>
        <color rgb="FF1A1A1A"/>
        <rFont val="Noto Sans CJK SC"/>
        <family val="2"/>
      </rPr>
      <t>汇率波动</t>
    </r>
  </si>
  <si>
    <t>$4,180</t>
  </si>
  <si>
    <t>$4,500</t>
  </si>
  <si>
    <t>墨西哥制造业转移</t>
  </si>
  <si>
    <r>
      <rPr>
        <sz val="9"/>
        <color rgb="FF1A1A1A"/>
        <rFont val="Noto Sans CJK SC"/>
        <family val="2"/>
      </rPr>
      <t>关税</t>
    </r>
    <r>
      <rPr>
        <sz val="9"/>
        <color rgb="FF1A1A1A"/>
        <rFont val="Arial"/>
        <family val="2"/>
      </rPr>
      <t>+</t>
    </r>
    <r>
      <rPr>
        <sz val="9"/>
        <color rgb="FF1A1A1A"/>
        <rFont val="Noto Sans CJK SC"/>
        <family val="2"/>
      </rPr>
      <t>美元强势</t>
    </r>
  </si>
  <si>
    <r>
      <rPr>
        <b/>
        <sz val="9"/>
        <color rgb="FFC0392B"/>
        <rFont val="Arial"/>
        <family val="2"/>
      </rPr>
      <t>SHA→Manzanillo (</t>
    </r>
    <r>
      <rPr>
        <b/>
        <sz val="9"/>
        <color rgb="FFC0392B"/>
        <rFont val="Noto Sans CJK SC"/>
        <family val="2"/>
      </rPr>
      <t>中国→墨</t>
    </r>
    <r>
      <rPr>
        <b/>
        <sz val="9"/>
        <color rgb="FFC0392B"/>
        <rFont val="Arial"/>
        <family val="2"/>
      </rPr>
      <t>)</t>
    </r>
  </si>
  <si>
    <t>$4,520</t>
  </si>
  <si>
    <r>
      <rPr>
        <sz val="9"/>
        <color rgb="FF1A1A1A"/>
        <rFont val="Noto Sans CJK SC"/>
        <family val="2"/>
      </rPr>
      <t>关税转移</t>
    </r>
    <r>
      <rPr>
        <sz val="9"/>
        <color rgb="FF1A1A1A"/>
        <rFont val="Arial"/>
        <family val="2"/>
      </rPr>
      <t>+</t>
    </r>
    <r>
      <rPr>
        <sz val="9"/>
        <color rgb="FF1A1A1A"/>
        <rFont val="Noto Sans CJK SC"/>
        <family val="2"/>
      </rPr>
      <t>油价</t>
    </r>
  </si>
  <si>
    <t>中美贸易政策</t>
  </si>
  <si>
    <t>TJ→Manzanillo</t>
  </si>
  <si>
    <t>$5,440</t>
  </si>
  <si>
    <t>$3,000</t>
  </si>
  <si>
    <t>天津港季节性</t>
  </si>
  <si>
    <r>
      <rPr>
        <sz val="9"/>
        <color rgb="FF1A1A1A"/>
        <rFont val="Noto Sans CJK SC"/>
        <family val="2"/>
      </rPr>
      <t>拥堵费</t>
    </r>
    <r>
      <rPr>
        <sz val="9"/>
        <color rgb="FF1A1A1A"/>
        <rFont val="Arial"/>
        <family val="2"/>
      </rPr>
      <t>+</t>
    </r>
    <r>
      <rPr>
        <sz val="9"/>
        <color rgb="FF1A1A1A"/>
        <rFont val="Noto Sans CJK SC"/>
        <family val="2"/>
      </rPr>
      <t>油价</t>
    </r>
  </si>
  <si>
    <t>图表数据（辅助行）</t>
  </si>
  <si>
    <t>SHA→Izmit</t>
  </si>
  <si>
    <t>SHA→Houston</t>
  </si>
  <si>
    <t>LCB→Savanna</t>
  </si>
  <si>
    <t>SHA→Hamburg</t>
  </si>
  <si>
    <t>SHA→Laemchabang</t>
  </si>
  <si>
    <t>LCB→Manzanillo</t>
  </si>
  <si>
    <t>SHA→Manzanillo</t>
  </si>
  <si>
    <t>布伦特</t>
  </si>
  <si>
    <t>航线 / 月份</t>
  </si>
  <si>
    <t>Brent ($/bbl)</t>
  </si>
  <si>
    <t>土耳其 SHA→Izmit</t>
  </si>
  <si>
    <t>美东 SHA→Houston</t>
  </si>
  <si>
    <t>欧洲 SHA→Hamburg</t>
  </si>
  <si>
    <t>墨西哥 LCB→Manz</t>
  </si>
  <si>
    <t>泰国 SHA→Laem</t>
  </si>
  <si>
    <t>▌ 四、关键航线月度走势图 (含 Brent 原油参照)</t>
  </si>
  <si>
    <t>◀  2025 年  ▶</t>
  </si>
  <si>
    <t>◀  2026 年  ▶</t>
  </si>
  <si>
    <r>
      <rPr>
        <sz val="11"/>
        <color theme="1"/>
        <rFont val="Calibri"/>
        <family val="2"/>
        <charset val="134"/>
        <scheme val="minor"/>
      </rPr>
      <t>▌ 一、各航线海运费月度数据（</t>
    </r>
    <r>
      <rPr>
        <sz val="11"/>
        <color theme="1"/>
        <rFont val="Arial"/>
        <family val="2"/>
      </rPr>
      <t>USD/FEU</t>
    </r>
    <r>
      <rPr>
        <sz val="11"/>
        <color theme="1"/>
        <rFont val="Calibri"/>
        <family val="2"/>
        <charset val="134"/>
        <scheme val="minor"/>
      </rPr>
      <t>，仅海运费）</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</si>
</sst>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 #,##0.00_ ;_ * \-#,##0.00_ ;_ * &quot;-&quot;??_ ;_ @_ "/>
    <numFmt numFmtId="165" formatCode="\$#,##0_);[Red]\(\$#,##0\)"/>
    <numFmt numFmtId="166" formatCode="_([$$-409]* #,##0.00_);_([$$-409]* \(#,##0.00\);_([$$-409]* &quot;-&quot;??_);_(@_)"/>
    <numFmt numFmtId="168" formatCode="\$#,##0"/>
    <numFmt numFmtId="169" formatCode="0.0"/>
    <numFmt numFmtId="170" formatCode="&quot;$&quot;#,##0;[Red]\(&quot;$&quot;#,##0\);&quot;-&quot;"/>
    <numFmt numFmtId="175" formatCode="_([$$-409]* #,##0.00_);_([$$-409]* \(#,##0.00\);_([$$-409]* \-??_);_(@_)"/>
    <numFmt numFmtId="176" formatCode="#,##0.0"/>
    <numFmt numFmtId="177" formatCode="\+0.0%;\-0.0%;0.0%"/>
  </numFmts>
  <fonts count="9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Arial"/>
      <family val="2"/>
    </font>
    <font>
      <b/>
      <sz val="8"/>
      <color theme="0"/>
      <name val="Arial"/>
      <family val="2"/>
    </font>
    <font>
      <sz val="11"/>
      <color theme="1"/>
      <name val="Calibri"/>
      <family val="3"/>
      <charset val="134"/>
      <scheme val="minor"/>
    </font>
    <font>
      <sz val="9"/>
      <name val="Calibri"/>
      <family val="3"/>
      <charset val="134"/>
      <scheme val="minor"/>
    </font>
    <font>
      <sz val="8"/>
      <name val="Arial"/>
      <family val="2"/>
    </font>
    <font>
      <sz val="8"/>
      <color rgb="FF000000"/>
      <name val="Aptos"/>
      <family val="2"/>
    </font>
    <font>
      <sz val="10"/>
      <color rgb="FF000000"/>
      <name val="微软雅黑"/>
      <family val="2"/>
      <charset val="134"/>
    </font>
    <font>
      <b/>
      <sz val="8"/>
      <color rgb="FFFF0000"/>
      <name val="Aptos"/>
      <family val="2"/>
    </font>
    <font>
      <b/>
      <i/>
      <sz val="8"/>
      <color rgb="FFFF0000"/>
      <name val="Arial"/>
      <family val="2"/>
    </font>
    <font>
      <sz val="9"/>
      <name val="Calibri"/>
      <family val="3"/>
      <charset val="134"/>
      <scheme val="minor"/>
    </font>
    <font>
      <sz val="8"/>
      <color rgb="FFFF0000"/>
      <name val="Arial"/>
      <family val="2"/>
    </font>
    <font>
      <sz val="9"/>
      <name val="Calibri"/>
      <family val="3"/>
      <charset val="134"/>
      <scheme val="minor"/>
    </font>
    <font>
      <b/>
      <sz val="8"/>
      <color theme="1"/>
      <name val="Arial"/>
      <family val="2"/>
    </font>
    <font>
      <sz val="8"/>
      <name val="Aptos"/>
      <family val="2"/>
    </font>
    <font>
      <sz val="11"/>
      <color rgb="FF000000"/>
      <name val="Calibri"/>
      <family val="3"/>
      <charset val="134"/>
      <scheme val="minor"/>
    </font>
    <font>
      <sz val="8"/>
      <color rgb="FF000000"/>
      <name val="Arial"/>
      <family val="2"/>
    </font>
    <font>
      <b/>
      <sz val="8"/>
      <color rgb="FFFF0000"/>
      <name val="Arial"/>
      <family val="2"/>
    </font>
    <font>
      <sz val="8"/>
      <color rgb="FF000000"/>
      <name val="Aptos"/>
    </font>
    <font>
      <b/>
      <sz val="8"/>
      <color rgb="FFFF0000"/>
      <name val="Aptos"/>
    </font>
    <font>
      <sz val="8"/>
      <color rgb="FFFF0000"/>
      <name val="Aptos"/>
    </font>
    <font>
      <sz val="9"/>
      <name val="Calibri"/>
      <family val="3"/>
      <charset val="134"/>
      <scheme val="minor"/>
    </font>
    <font>
      <sz val="9"/>
      <color theme="1"/>
      <name val="Arial"/>
      <family val="2"/>
    </font>
    <font>
      <sz val="8"/>
      <color rgb="FF000000"/>
      <name val="微软雅黑"/>
      <family val="2"/>
      <charset val="134"/>
    </font>
    <font>
      <sz val="14"/>
      <color rgb="FFFF0000"/>
      <name val="Aptos"/>
      <family val="2"/>
    </font>
    <font>
      <sz val="9"/>
      <name val="Calibri"/>
      <family val="3"/>
      <charset val="134"/>
      <scheme val="minor"/>
    </font>
    <font>
      <sz val="9"/>
      <name val="Calibri"/>
      <family val="3"/>
      <charset val="134"/>
      <scheme val="minor"/>
    </font>
    <font>
      <b/>
      <sz val="8"/>
      <color rgb="FFFF0000"/>
      <name val="微软雅黑"/>
      <family val="2"/>
      <charset val="134"/>
    </font>
    <font>
      <sz val="9"/>
      <name val="Calibri"/>
      <family val="3"/>
      <charset val="134"/>
      <scheme val="minor"/>
    </font>
    <font>
      <b/>
      <sz val="11"/>
      <color rgb="FFFFFFFF"/>
      <name val="Calibri"/>
      <family val="2"/>
      <scheme val="minor"/>
    </font>
    <font>
      <b/>
      <sz val="10"/>
      <color rgb="FFFFFFFF"/>
      <name val="Calibri"/>
      <family val="2"/>
      <scheme val="minor"/>
    </font>
    <font>
      <sz val="11"/>
      <color rgb="FF000000"/>
      <name val="Calibri"/>
      <family val="2"/>
      <scheme val="minor"/>
    </font>
    <font>
      <b/>
      <sz val="11"/>
      <color rgb="FF000000"/>
      <name val="Calibri"/>
      <family val="2"/>
      <scheme val="minor"/>
    </font>
    <font>
      <b/>
      <sz val="11"/>
      <color rgb="FFC00000"/>
      <name val="Calibri"/>
      <family val="2"/>
      <scheme val="minor"/>
    </font>
    <font>
      <b/>
      <sz val="12"/>
      <color rgb="FFFFFFFF"/>
      <name val="Calibri"/>
      <family val="2"/>
      <scheme val="minor"/>
    </font>
    <font>
      <sz val="11"/>
      <color rgb="FF000000"/>
      <name val="Arial"/>
      <family val="2"/>
    </font>
    <font>
      <sz val="11"/>
      <color theme="1"/>
      <name val="等线"/>
      <family val="4"/>
      <charset val="134"/>
    </font>
    <font>
      <b/>
      <sz val="15"/>
      <color rgb="FFFFFFFF"/>
      <name val="Noto Sans CJK SC"/>
      <family val="2"/>
    </font>
    <font>
      <b/>
      <sz val="15"/>
      <color rgb="FFFFFFFF"/>
      <name val="Arial"/>
      <family val="2"/>
    </font>
    <font>
      <sz val="9"/>
      <color rgb="FF555555"/>
      <name val="Noto Sans CJK SC"/>
      <family val="2"/>
    </font>
    <font>
      <sz val="9"/>
      <color rgb="FF555555"/>
      <name val="Arial"/>
      <family val="2"/>
    </font>
    <font>
      <b/>
      <sz val="9"/>
      <color rgb="FFFFFFFF"/>
      <name val="Arial"/>
      <family val="2"/>
    </font>
    <font>
      <b/>
      <sz val="9"/>
      <color rgb="FFFFFFFF"/>
      <name val="Noto Sans CJK SC"/>
      <family val="2"/>
    </font>
    <font>
      <b/>
      <sz val="11"/>
      <color rgb="FFFFFFFF"/>
      <name val="Noto Sans CJK SC"/>
      <family val="2"/>
    </font>
    <font>
      <b/>
      <sz val="11"/>
      <color rgb="FFFFFFFF"/>
      <name val="Arial"/>
      <family val="2"/>
    </font>
    <font>
      <b/>
      <sz val="8"/>
      <color rgb="FFFFFFFF"/>
      <name val="Arial"/>
      <family val="2"/>
    </font>
    <font>
      <b/>
      <sz val="10"/>
      <color rgb="FFFFFFFF"/>
      <name val="Noto Sans CJK SC"/>
      <family val="2"/>
    </font>
    <font>
      <b/>
      <sz val="10"/>
      <color rgb="FFFFFFFF"/>
      <name val="Arial"/>
      <family val="2"/>
    </font>
    <font>
      <sz val="9"/>
      <color rgb="FF1B3A6B"/>
      <name val="Arial"/>
      <family val="2"/>
    </font>
    <font>
      <sz val="9"/>
      <color rgb="FF1B3A6B"/>
      <name val="Noto Sans CJK SC"/>
      <family val="2"/>
    </font>
    <font>
      <sz val="10"/>
      <color rgb="FF555555"/>
      <name val="Arial"/>
      <family val="2"/>
    </font>
    <font>
      <sz val="10"/>
      <color rgb="FF1A1A1A"/>
      <name val="Arial"/>
      <family val="2"/>
    </font>
    <font>
      <b/>
      <sz val="10"/>
      <color rgb="FF1A1A1A"/>
      <name val="Arial"/>
      <family val="2"/>
    </font>
    <font>
      <b/>
      <sz val="10"/>
      <color rgb="FF6C3483"/>
      <name val="Arial"/>
      <family val="2"/>
    </font>
    <font>
      <b/>
      <sz val="10"/>
      <color rgb="FFC0392B"/>
      <name val="Arial"/>
      <family val="2"/>
    </font>
    <font>
      <sz val="10"/>
      <color rgb="FF555555"/>
      <name val="Noto Sans CJK SC"/>
      <family val="2"/>
    </font>
    <font>
      <sz val="9"/>
      <color rgb="FF2E6DB4"/>
      <name val="Arial"/>
      <family val="2"/>
    </font>
    <font>
      <b/>
      <sz val="10"/>
      <color rgb="FF333333"/>
      <name val="Arial"/>
      <family val="2"/>
    </font>
    <font>
      <b/>
      <sz val="10"/>
      <color rgb="FF1E8449"/>
      <name val="Arial"/>
      <family val="2"/>
    </font>
    <font>
      <sz val="9"/>
      <color rgb="FF2E6DB4"/>
      <name val="Noto Sans CJK SC"/>
      <family val="2"/>
    </font>
    <font>
      <sz val="9"/>
      <color rgb="FF1E8449"/>
      <name val="Arial"/>
      <family val="2"/>
    </font>
    <font>
      <sz val="9"/>
      <color rgb="FF148F77"/>
      <name val="Arial"/>
      <family val="2"/>
    </font>
    <font>
      <sz val="9"/>
      <color rgb="FF148F77"/>
      <name val="Noto Sans CJK SC"/>
      <family val="2"/>
    </font>
    <font>
      <sz val="9"/>
      <color rgb="FFC0392B"/>
      <name val="Arial"/>
      <family val="2"/>
    </font>
    <font>
      <sz val="9"/>
      <color rgb="FFC0392B"/>
      <name val="Noto Sans CJK SC"/>
      <family val="2"/>
    </font>
    <font>
      <b/>
      <sz val="9"/>
      <color rgb="FF1B3A6B"/>
      <name val="Arial"/>
      <family val="2"/>
    </font>
    <font>
      <b/>
      <sz val="9"/>
      <color rgb="FF1E8449"/>
      <name val="Arial"/>
      <family val="2"/>
    </font>
    <font>
      <b/>
      <sz val="9"/>
      <color rgb="FF555555"/>
      <name val="Arial"/>
      <family val="2"/>
    </font>
    <font>
      <b/>
      <sz val="9"/>
      <color rgb="FFC0392B"/>
      <name val="Arial"/>
      <family val="2"/>
    </font>
    <font>
      <b/>
      <sz val="9"/>
      <color rgb="FF2E6DB4"/>
      <name val="Arial"/>
      <family val="2"/>
    </font>
    <font>
      <b/>
      <sz val="9"/>
      <color rgb="FF1A5276"/>
      <name val="Arial"/>
      <family val="2"/>
    </font>
    <font>
      <b/>
      <sz val="9"/>
      <color rgb="FF148F77"/>
      <name val="Arial"/>
      <family val="2"/>
    </font>
    <font>
      <b/>
      <sz val="9"/>
      <color rgb="FF7B241C"/>
      <name val="Arial"/>
      <family val="2"/>
    </font>
    <font>
      <b/>
      <sz val="9"/>
      <color rgb="FF7B241C"/>
      <name val="Noto Sans CJK SC"/>
      <family val="2"/>
    </font>
    <font>
      <b/>
      <sz val="10"/>
      <color rgb="FF6C3483"/>
      <name val="Noto Sans CJK SC"/>
      <family val="2"/>
    </font>
    <font>
      <sz val="10"/>
      <color rgb="FF1C2833"/>
      <name val="Noto Sans CJK SC"/>
      <family val="2"/>
    </font>
    <font>
      <sz val="10"/>
      <color rgb="FF1C2833"/>
      <name val="Arial"/>
      <family val="2"/>
    </font>
    <font>
      <sz val="9"/>
      <color rgb="FF1A1A1A"/>
      <name val="Arial"/>
      <family val="2"/>
    </font>
    <font>
      <sz val="9"/>
      <color rgb="FF1A1A1A"/>
      <name val="Noto Sans CJK SC"/>
      <family val="2"/>
    </font>
    <font>
      <b/>
      <sz val="9"/>
      <color rgb="FF2E6DB4"/>
      <name val="Noto Sans CJK SC"/>
      <family val="2"/>
    </font>
    <font>
      <b/>
      <sz val="9"/>
      <color rgb="FF1E8449"/>
      <name val="Noto Sans CJK SC"/>
      <family val="2"/>
    </font>
    <font>
      <b/>
      <sz val="9"/>
      <color rgb="FF148F77"/>
      <name val="Noto Sans CJK SC"/>
      <family val="2"/>
    </font>
    <font>
      <b/>
      <sz val="9"/>
      <color rgb="FFC0392B"/>
      <name val="Noto Sans CJK SC"/>
      <family val="2"/>
    </font>
    <font>
      <sz val="8"/>
      <color rgb="FFAAAAAA"/>
      <name val="Noto Sans CJK SC"/>
      <family val="2"/>
    </font>
    <font>
      <sz val="8"/>
      <color rgb="FFAAAAAA"/>
      <name val="Arial"/>
      <family val="2"/>
    </font>
    <font>
      <sz val="11"/>
      <color theme="1"/>
      <name val="Noto Sans CJK SC"/>
      <family val="2"/>
    </font>
    <font>
      <b/>
      <sz val="10"/>
      <color rgb="FF1C2833"/>
      <name val="Noto Sans CJK SC"/>
      <family val="2"/>
    </font>
    <font>
      <b/>
      <sz val="11"/>
      <color theme="1"/>
      <name val="等线"/>
      <family val="4"/>
      <charset val="134"/>
    </font>
    <font>
      <b/>
      <sz val="12"/>
      <color rgb="FF6C3483"/>
      <name val="Arial"/>
      <family val="2"/>
    </font>
    <font>
      <sz val="11"/>
      <color rgb="FF000000"/>
      <name val="等线"/>
      <family val="4"/>
      <charset val="134"/>
    </font>
    <font>
      <sz val="11"/>
      <color theme="1"/>
      <name val="Calibri"/>
      <family val="2"/>
      <charset val="134"/>
      <scheme val="minor"/>
    </font>
    <font>
      <sz val="11"/>
      <color theme="1"/>
      <name val="Arial"/>
      <family val="2"/>
    </font>
    <font>
      <b/>
      <sz val="12"/>
      <color rgb="FFFFFFFF"/>
      <name val="Noto Sans CJK SC"/>
      <family val="2"/>
    </font>
  </fonts>
  <fills count="50">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33CC"/>
        <bgColor indexed="64"/>
      </patternFill>
    </fill>
    <fill>
      <patternFill patternType="solid">
        <fgColor rgb="FFFFFF00"/>
        <bgColor rgb="FF000000"/>
      </patternFill>
    </fill>
    <fill>
      <patternFill patternType="solid">
        <fgColor rgb="FF3F3F44"/>
        <bgColor indexed="64"/>
      </patternFill>
    </fill>
    <fill>
      <patternFill patternType="solid">
        <fgColor rgb="FF9D7B6E"/>
        <bgColor indexed="64"/>
      </patternFill>
    </fill>
    <fill>
      <patternFill patternType="solid">
        <fgColor rgb="FF7F8C8D"/>
        <bgColor indexed="64"/>
      </patternFill>
    </fill>
    <fill>
      <patternFill patternType="solid">
        <fgColor rgb="FFA39171"/>
        <bgColor indexed="64"/>
      </patternFill>
    </fill>
    <fill>
      <patternFill patternType="solid">
        <fgColor rgb="FF7D8A7B"/>
        <bgColor indexed="64"/>
      </patternFill>
    </fill>
    <fill>
      <patternFill patternType="solid">
        <fgColor rgb="FF8E7B98"/>
        <bgColor indexed="64"/>
      </patternFill>
    </fill>
    <fill>
      <patternFill patternType="solid">
        <fgColor rgb="FF6E8B9D"/>
        <bgColor indexed="64"/>
      </patternFill>
    </fill>
    <fill>
      <patternFill patternType="solid">
        <fgColor rgb="FFF5EDE9"/>
        <bgColor indexed="64"/>
      </patternFill>
    </fill>
    <fill>
      <patternFill patternType="solid">
        <fgColor rgb="FFECEFEF"/>
        <bgColor indexed="64"/>
      </patternFill>
    </fill>
    <fill>
      <patternFill patternType="solid">
        <fgColor rgb="FFF2EEE6"/>
        <bgColor indexed="64"/>
      </patternFill>
    </fill>
    <fill>
      <patternFill patternType="solid">
        <fgColor rgb="FFEBEEEB"/>
        <bgColor indexed="64"/>
      </patternFill>
    </fill>
    <fill>
      <patternFill patternType="solid">
        <fgColor rgb="FFEFEAF2"/>
        <bgColor indexed="64"/>
      </patternFill>
    </fill>
    <fill>
      <patternFill patternType="solid">
        <fgColor rgb="FFE9EEF2"/>
        <bgColor indexed="64"/>
      </patternFill>
    </fill>
    <fill>
      <patternFill patternType="solid">
        <fgColor rgb="FFFFF2CC"/>
        <bgColor indexed="64"/>
      </patternFill>
    </fill>
    <fill>
      <patternFill patternType="solid">
        <fgColor rgb="FFFFD966"/>
        <bgColor indexed="64"/>
      </patternFill>
    </fill>
    <fill>
      <patternFill patternType="solid">
        <fgColor rgb="FF9B8AAA"/>
        <bgColor indexed="64"/>
      </patternFill>
    </fill>
    <fill>
      <patternFill patternType="solid">
        <fgColor rgb="FF1B3A6B"/>
        <bgColor rgb="FF2E4057"/>
      </patternFill>
    </fill>
    <fill>
      <patternFill patternType="solid">
        <fgColor rgb="FFDEEAF7"/>
        <bgColor rgb="FFDAE3F3"/>
      </patternFill>
    </fill>
    <fill>
      <patternFill patternType="solid">
        <fgColor rgb="FFC0392B"/>
        <bgColor rgb="FF7B241C"/>
      </patternFill>
    </fill>
    <fill>
      <patternFill patternType="solid">
        <fgColor rgb="FF6C3483"/>
        <bgColor rgb="FF555555"/>
      </patternFill>
    </fill>
    <fill>
      <patternFill patternType="solid">
        <fgColor rgb="FF2E6DB4"/>
        <bgColor rgb="FF1A5276"/>
      </patternFill>
    </fill>
    <fill>
      <patternFill patternType="solid">
        <fgColor rgb="FF555555"/>
        <bgColor rgb="FF595959"/>
      </patternFill>
    </fill>
    <fill>
      <patternFill patternType="solid">
        <fgColor rgb="FFEBF5FB"/>
        <bgColor rgb="FFEAF2FF"/>
      </patternFill>
    </fill>
    <fill>
      <patternFill patternType="solid">
        <fgColor rgb="FFF5EEF8"/>
        <bgColor rgb="FFF2F2F2"/>
      </patternFill>
    </fill>
    <fill>
      <patternFill patternType="solid">
        <fgColor rgb="FFEAF2FF"/>
        <bgColor rgb="FFEBF5FB"/>
      </patternFill>
    </fill>
    <fill>
      <patternFill patternType="solid">
        <fgColor rgb="FF1E8449"/>
        <bgColor rgb="FF148F77"/>
      </patternFill>
    </fill>
    <fill>
      <patternFill patternType="solid">
        <fgColor rgb="FFE9F7EF"/>
        <bgColor rgb="FFE8F8F5"/>
      </patternFill>
    </fill>
    <fill>
      <patternFill patternType="solid">
        <fgColor rgb="FF148F77"/>
        <bgColor rgb="FF1E8449"/>
      </patternFill>
    </fill>
    <fill>
      <patternFill patternType="solid">
        <fgColor rgb="FFE8F8F5"/>
        <bgColor rgb="FFE9F7EF"/>
      </patternFill>
    </fill>
    <fill>
      <patternFill patternType="solid">
        <fgColor rgb="FFFDEDEC"/>
        <bgColor rgb="FFF5EEF8"/>
      </patternFill>
    </fill>
    <fill>
      <patternFill patternType="solid">
        <fgColor rgb="FFF4F6F7"/>
        <bgColor rgb="FFF2F2F2"/>
      </patternFill>
    </fill>
    <fill>
      <patternFill patternType="solid">
        <fgColor rgb="FFFFFFFF"/>
        <bgColor rgb="FFF4F6F7"/>
      </patternFill>
    </fill>
    <fill>
      <patternFill patternType="solid">
        <fgColor rgb="FFCA6F1E"/>
        <bgColor rgb="FFED7D31"/>
      </patternFill>
    </fill>
    <fill>
      <patternFill patternType="solid">
        <fgColor rgb="FF5B7C99"/>
        <bgColor indexed="64"/>
      </patternFill>
    </fill>
    <fill>
      <patternFill patternType="solid">
        <fgColor rgb="FF996B5B"/>
        <bgColor indexed="64"/>
      </patternFill>
    </fill>
    <fill>
      <patternFill patternType="solid">
        <fgColor rgb="FF7B96AC"/>
        <bgColor indexed="64"/>
      </patternFill>
    </fill>
    <fill>
      <patternFill patternType="solid">
        <fgColor rgb="FFAC8E7B"/>
        <bgColor indexed="64"/>
      </patternFill>
    </fill>
    <fill>
      <patternFill patternType="solid">
        <fgColor rgb="FF888888"/>
        <bgColor indexed="64"/>
      </patternFill>
    </fill>
    <fill>
      <patternFill patternType="solid">
        <fgColor rgb="FFA6A6A6"/>
        <bgColor indexed="64"/>
      </patternFill>
    </fill>
    <fill>
      <patternFill patternType="solid">
        <fgColor rgb="FFFFFFFF"/>
        <bgColor indexed="64"/>
      </patternFill>
    </fill>
    <fill>
      <patternFill patternType="solid">
        <fgColor rgb="FF1F3864"/>
        <bgColor indexed="64"/>
      </patternFill>
    </fill>
  </fills>
  <borders count="3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indexed="64"/>
      </left>
      <right style="thin">
        <color indexed="64"/>
      </right>
      <top/>
      <bottom style="thin">
        <color indexed="64"/>
      </bottom>
      <diagonal/>
    </border>
    <border>
      <left/>
      <right style="thin">
        <color indexed="64"/>
      </right>
      <top/>
      <bottom/>
      <diagonal/>
    </border>
    <border>
      <left/>
      <right style="thin">
        <color auto="1"/>
      </right>
      <top style="thin">
        <color auto="1"/>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7F7F7F"/>
      </bottom>
      <diagonal/>
    </border>
    <border>
      <left style="medium">
        <color rgb="FF7F7F7F"/>
      </left>
      <right style="thin">
        <color rgb="FFBFBFBF"/>
      </right>
      <top style="thin">
        <color rgb="FFBFBFBF"/>
      </top>
      <bottom style="thin">
        <color rgb="FFBFBFBF"/>
      </bottom>
      <diagonal/>
    </border>
    <border>
      <left style="medium">
        <color rgb="FF7F7F7F"/>
      </left>
      <right style="thin">
        <color rgb="FFBFBFBF"/>
      </right>
      <top style="thin">
        <color rgb="FFBFBFBF"/>
      </top>
      <bottom style="medium">
        <color rgb="FF7F7F7F"/>
      </bottom>
      <diagonal/>
    </border>
    <border>
      <left style="thin">
        <color rgb="FFBFBFBF"/>
      </left>
      <right style="medium">
        <color rgb="FF7F7F7F"/>
      </right>
      <top style="thin">
        <color rgb="FFBFBFBF"/>
      </top>
      <bottom style="thin">
        <color rgb="FFBFBFBF"/>
      </bottom>
      <diagonal/>
    </border>
    <border>
      <left style="thin">
        <color rgb="FFBFBFBF"/>
      </left>
      <right style="medium">
        <color rgb="FF7F7F7F"/>
      </right>
      <top style="thin">
        <color rgb="FFBFBFBF"/>
      </top>
      <bottom style="medium">
        <color rgb="FF7F7F7F"/>
      </bottom>
      <diagonal/>
    </border>
    <border>
      <left style="medium">
        <color rgb="FF7F7F7F"/>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medium">
        <color rgb="FF7F7F7F"/>
      </right>
      <top/>
      <bottom style="thin">
        <color rgb="FFBFBFBF"/>
      </bottom>
      <diagonal/>
    </border>
    <border>
      <left style="medium">
        <color rgb="FF7F7F7F"/>
      </left>
      <right style="thin">
        <color rgb="FFBFBFBF"/>
      </right>
      <top style="medium">
        <color rgb="FF7F7F7F"/>
      </top>
      <bottom/>
      <diagonal/>
    </border>
    <border>
      <left style="thin">
        <color rgb="FFBFBFBF"/>
      </left>
      <right style="thin">
        <color rgb="FFBFBFBF"/>
      </right>
      <top style="medium">
        <color rgb="FF7F7F7F"/>
      </top>
      <bottom/>
      <diagonal/>
    </border>
    <border>
      <left style="thin">
        <color rgb="FFBFBFBF"/>
      </left>
      <right style="medium">
        <color rgb="FF7F7F7F"/>
      </right>
      <top style="medium">
        <color rgb="FF7F7F7F"/>
      </top>
      <bottom/>
      <diagonal/>
    </border>
    <border>
      <left style="medium">
        <color rgb="FF7F7F7F"/>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style="medium">
        <color rgb="FF7F7F7F"/>
      </right>
      <top style="thin">
        <color rgb="FFBFBFBF"/>
      </top>
      <bottom/>
      <diagonal/>
    </border>
    <border>
      <left style="medium">
        <color rgb="FF7F7F7F"/>
      </left>
      <right style="thin">
        <color rgb="FFBFBFBF"/>
      </right>
      <top style="thin">
        <color rgb="FFBFBFBF"/>
      </top>
      <bottom style="medium">
        <color rgb="FF3F3F44"/>
      </bottom>
      <diagonal/>
    </border>
    <border>
      <left style="thin">
        <color rgb="FFBFBFBF"/>
      </left>
      <right style="thin">
        <color rgb="FFBFBFBF"/>
      </right>
      <top style="thin">
        <color rgb="FFBFBFBF"/>
      </top>
      <bottom style="medium">
        <color rgb="FF3F3F44"/>
      </bottom>
      <diagonal/>
    </border>
    <border>
      <left style="thin">
        <color rgb="FFBFBFBF"/>
      </left>
      <right style="medium">
        <color rgb="FF7F7F7F"/>
      </right>
      <top style="thin">
        <color rgb="FFBFBFBF"/>
      </top>
      <bottom style="medium">
        <color rgb="FF3F3F44"/>
      </bottom>
      <diagonal/>
    </border>
    <border>
      <left style="medium">
        <color rgb="FF7F7F7F"/>
      </left>
      <right style="thin">
        <color rgb="FFBFBFBF"/>
      </right>
      <top style="medium">
        <color rgb="FF7F7F7F"/>
      </top>
      <bottom style="medium">
        <color rgb="FF3F3F44"/>
      </bottom>
      <diagonal/>
    </border>
    <border>
      <left style="thin">
        <color rgb="FFBFBFBF"/>
      </left>
      <right style="thin">
        <color rgb="FFBFBFBF"/>
      </right>
      <top style="medium">
        <color rgb="FF7F7F7F"/>
      </top>
      <bottom style="medium">
        <color rgb="FF3F3F44"/>
      </bottom>
      <diagonal/>
    </border>
    <border>
      <left style="thin">
        <color rgb="FFBFBFBF"/>
      </left>
      <right style="medium">
        <color rgb="FF7F7F7F"/>
      </right>
      <top style="medium">
        <color rgb="FF7F7F7F"/>
      </top>
      <bottom style="medium">
        <color rgb="FF3F3F44"/>
      </bottom>
      <diagonal/>
    </border>
    <border>
      <left style="thin">
        <color rgb="FFC8C8C8"/>
      </left>
      <right style="thin">
        <color rgb="FFC8C8C8"/>
      </right>
      <top style="thin">
        <color rgb="FFC8C8C8"/>
      </top>
      <bottom style="thin">
        <color rgb="FFC8C8C8"/>
      </bottom>
      <diagonal/>
    </border>
    <border>
      <left style="thin">
        <color rgb="FFC8C8C8"/>
      </left>
      <right/>
      <top style="thin">
        <color rgb="FFC8C8C8"/>
      </top>
      <bottom style="thin">
        <color rgb="FFC8C8C8"/>
      </bottom>
      <diagonal/>
    </border>
    <border>
      <left/>
      <right/>
      <top style="thin">
        <color rgb="FFC8C8C8"/>
      </top>
      <bottom style="thin">
        <color rgb="FFC8C8C8"/>
      </bottom>
      <diagonal/>
    </border>
    <border>
      <left/>
      <right style="thin">
        <color rgb="FFC8C8C8"/>
      </right>
      <top style="thin">
        <color rgb="FFC8C8C8"/>
      </top>
      <bottom style="thin">
        <color rgb="FFC8C8C8"/>
      </bottom>
      <diagonal/>
    </border>
  </borders>
  <cellStyleXfs count="12">
    <xf numFmtId="166" fontId="0" fillId="0" borderId="0"/>
    <xf numFmtId="166" fontId="6" fillId="0" borderId="0"/>
    <xf numFmtId="166" fontId="6" fillId="0" borderId="0"/>
    <xf numFmtId="164" fontId="6" fillId="0" borderId="0" applyFont="0" applyFill="0" applyBorder="0" applyAlignment="0" applyProtection="0">
      <alignment vertical="center"/>
    </xf>
    <xf numFmtId="0" fontId="3" fillId="0" borderId="0"/>
    <xf numFmtId="0" fontId="3" fillId="0" borderId="0"/>
    <xf numFmtId="0" fontId="3" fillId="0" borderId="0"/>
    <xf numFmtId="166" fontId="6" fillId="0" borderId="0"/>
    <xf numFmtId="0" fontId="2" fillId="0" borderId="0"/>
    <xf numFmtId="0" fontId="1" fillId="0" borderId="0"/>
    <xf numFmtId="0" fontId="1" fillId="0" borderId="0"/>
    <xf numFmtId="175" fontId="39" fillId="0" borderId="0"/>
  </cellStyleXfs>
  <cellXfs count="528">
    <xf numFmtId="166" fontId="0" fillId="0" borderId="0" xfId="0"/>
    <xf numFmtId="166" fontId="4" fillId="0" borderId="0" xfId="0" applyFont="1"/>
    <xf numFmtId="166" fontId="4" fillId="0" borderId="0" xfId="0" applyFont="1" applyAlignment="1">
      <alignment horizontal="left"/>
    </xf>
    <xf numFmtId="166" fontId="4" fillId="0" borderId="1" xfId="1" applyFont="1" applyBorder="1" applyAlignment="1">
      <alignment horizontal="left" vertical="center"/>
    </xf>
    <xf numFmtId="166" fontId="4" fillId="0" borderId="2" xfId="1" applyFont="1" applyBorder="1" applyAlignment="1">
      <alignment horizontal="left" vertical="center"/>
    </xf>
    <xf numFmtId="166" fontId="4" fillId="0" borderId="2" xfId="1" applyFont="1" applyBorder="1" applyAlignment="1">
      <alignment horizontal="center" vertical="center"/>
    </xf>
    <xf numFmtId="166" fontId="4" fillId="0" borderId="1" xfId="1" applyFont="1" applyBorder="1" applyAlignment="1">
      <alignment horizontal="center" vertical="center"/>
    </xf>
    <xf numFmtId="166" fontId="4" fillId="4" borderId="1" xfId="1" applyFont="1" applyFill="1" applyBorder="1" applyAlignment="1">
      <alignment horizontal="left" vertical="center"/>
    </xf>
    <xf numFmtId="166" fontId="4" fillId="4" borderId="1" xfId="1" applyFont="1" applyFill="1" applyBorder="1" applyAlignment="1">
      <alignment horizontal="center" vertical="center"/>
    </xf>
    <xf numFmtId="166" fontId="4" fillId="4" borderId="2" xfId="1" applyFont="1" applyFill="1" applyBorder="1" applyAlignment="1">
      <alignment horizontal="left" vertical="center"/>
    </xf>
    <xf numFmtId="166" fontId="4" fillId="4" borderId="2" xfId="1" applyFont="1" applyFill="1" applyBorder="1" applyAlignment="1">
      <alignment horizontal="center" vertical="center"/>
    </xf>
    <xf numFmtId="0" fontId="5" fillId="3" borderId="1" xfId="1" applyNumberFormat="1" applyFont="1" applyFill="1" applyBorder="1" applyAlignment="1">
      <alignment horizontal="center" vertical="center" wrapText="1"/>
    </xf>
    <xf numFmtId="0" fontId="4" fillId="0" borderId="1" xfId="1" applyNumberFormat="1" applyFont="1" applyBorder="1" applyAlignment="1">
      <alignment horizontal="center" vertical="center"/>
    </xf>
    <xf numFmtId="0" fontId="8" fillId="0" borderId="1" xfId="1" applyNumberFormat="1" applyFont="1" applyBorder="1" applyAlignment="1">
      <alignment horizontal="center" vertical="center"/>
    </xf>
    <xf numFmtId="0" fontId="0" fillId="0" borderId="0" xfId="0" applyNumberFormat="1"/>
    <xf numFmtId="0" fontId="4" fillId="0" borderId="1" xfId="1" applyNumberFormat="1" applyFont="1" applyBorder="1" applyAlignment="1">
      <alignment horizontal="left" vertical="center"/>
    </xf>
    <xf numFmtId="0" fontId="0" fillId="0" borderId="0" xfId="0" applyNumberFormat="1" applyAlignment="1">
      <alignment horizontal="left"/>
    </xf>
    <xf numFmtId="0" fontId="0" fillId="0" borderId="0" xfId="0" applyNumberFormat="1" applyAlignment="1">
      <alignment horizontal="center"/>
    </xf>
    <xf numFmtId="166" fontId="4" fillId="6" borderId="1" xfId="1" applyFont="1" applyFill="1" applyBorder="1" applyAlignment="1">
      <alignment horizontal="left" vertical="center"/>
    </xf>
    <xf numFmtId="0" fontId="0" fillId="0" borderId="0" xfId="0" applyNumberFormat="1" applyAlignment="1">
      <alignment horizontal="center" vertical="center"/>
    </xf>
    <xf numFmtId="0" fontId="4" fillId="6" borderId="1" xfId="1" applyNumberFormat="1" applyFont="1" applyFill="1" applyBorder="1" applyAlignment="1">
      <alignment horizontal="center" vertical="center"/>
    </xf>
    <xf numFmtId="166" fontId="4" fillId="0" borderId="1" xfId="1" applyFont="1" applyBorder="1" applyAlignment="1">
      <alignment horizontal="left" vertical="center" wrapText="1"/>
    </xf>
    <xf numFmtId="166" fontId="4" fillId="6" borderId="1" xfId="1" applyFont="1" applyFill="1" applyBorder="1" applyAlignment="1">
      <alignment horizontal="center" vertical="center"/>
    </xf>
    <xf numFmtId="0" fontId="4" fillId="2" borderId="1" xfId="1" applyNumberFormat="1" applyFont="1" applyFill="1" applyBorder="1" applyAlignment="1">
      <alignment horizontal="center" vertical="center"/>
    </xf>
    <xf numFmtId="0" fontId="0" fillId="0" borderId="0" xfId="0" applyNumberFormat="1" applyAlignment="1">
      <alignment horizontal="left" vertical="top"/>
    </xf>
    <xf numFmtId="165" fontId="0" fillId="0" borderId="0" xfId="0" applyNumberFormat="1" applyAlignment="1">
      <alignment horizontal="center"/>
    </xf>
    <xf numFmtId="166" fontId="14" fillId="0" borderId="1" xfId="1" applyFont="1" applyBorder="1" applyAlignment="1">
      <alignment horizontal="left" vertical="center"/>
    </xf>
    <xf numFmtId="0" fontId="4" fillId="0" borderId="1" xfId="3" applyNumberFormat="1" applyFont="1" applyBorder="1" applyAlignment="1">
      <alignment horizontal="center" vertical="center"/>
    </xf>
    <xf numFmtId="0" fontId="4" fillId="0" borderId="4" xfId="3" applyNumberFormat="1" applyFont="1" applyBorder="1" applyAlignment="1">
      <alignment horizontal="center" vertical="center"/>
    </xf>
    <xf numFmtId="0" fontId="4" fillId="0" borderId="0" xfId="4" applyFont="1"/>
    <xf numFmtId="0" fontId="4" fillId="0" borderId="0" xfId="4" applyFont="1" applyAlignment="1">
      <alignment horizontal="center"/>
    </xf>
    <xf numFmtId="0" fontId="3" fillId="0" borderId="0" xfId="4"/>
    <xf numFmtId="166" fontId="6" fillId="0" borderId="0" xfId="7"/>
    <xf numFmtId="0" fontId="6" fillId="0" borderId="0" xfId="7" applyNumberFormat="1" applyAlignment="1">
      <alignment horizontal="center" vertical="center"/>
    </xf>
    <xf numFmtId="0" fontId="6" fillId="0" borderId="0" xfId="7" applyNumberFormat="1" applyAlignment="1">
      <alignment horizontal="left" vertical="top"/>
    </xf>
    <xf numFmtId="165" fontId="3" fillId="0" borderId="0" xfId="4" applyNumberFormat="1" applyAlignment="1">
      <alignment horizontal="center"/>
    </xf>
    <xf numFmtId="0" fontId="3" fillId="0" borderId="0" xfId="4" applyAlignment="1">
      <alignment horizontal="center"/>
    </xf>
    <xf numFmtId="0" fontId="6" fillId="0" borderId="0" xfId="7" applyNumberFormat="1" applyAlignment="1">
      <alignment horizontal="center"/>
    </xf>
    <xf numFmtId="0" fontId="6" fillId="0" borderId="0" xfId="7" applyNumberFormat="1"/>
    <xf numFmtId="0" fontId="6" fillId="0" borderId="0" xfId="7" applyNumberFormat="1" applyAlignment="1">
      <alignment horizontal="left"/>
    </xf>
    <xf numFmtId="166" fontId="14" fillId="0" borderId="1" xfId="1" applyFont="1" applyBorder="1" applyAlignment="1">
      <alignment horizontal="center" vertical="center"/>
    </xf>
    <xf numFmtId="0" fontId="6" fillId="7" borderId="0" xfId="7" applyNumberFormat="1" applyFill="1" applyAlignment="1">
      <alignment horizontal="center" vertical="center" wrapText="1"/>
    </xf>
    <xf numFmtId="0" fontId="20" fillId="2" borderId="1" xfId="1" applyNumberFormat="1" applyFont="1" applyFill="1" applyBorder="1" applyAlignment="1">
      <alignment horizontal="center" vertical="center" wrapText="1"/>
    </xf>
    <xf numFmtId="168" fontId="6" fillId="0" borderId="0" xfId="7" applyNumberFormat="1" applyAlignment="1">
      <alignment horizontal="center"/>
    </xf>
    <xf numFmtId="0" fontId="20" fillId="2" borderId="0" xfId="1" applyNumberFormat="1" applyFont="1" applyFill="1" applyAlignment="1">
      <alignment horizontal="center" vertical="center" wrapText="1"/>
    </xf>
    <xf numFmtId="166" fontId="14" fillId="4" borderId="1" xfId="1" applyFont="1" applyFill="1" applyBorder="1" applyAlignment="1">
      <alignment horizontal="center" vertical="center"/>
    </xf>
    <xf numFmtId="0" fontId="25" fillId="0" borderId="0" xfId="7" applyNumberFormat="1" applyFont="1"/>
    <xf numFmtId="166" fontId="9" fillId="0" borderId="0" xfId="7" applyFont="1" applyAlignment="1">
      <alignment horizontal="left" vertical="top" wrapText="1"/>
    </xf>
    <xf numFmtId="166" fontId="19" fillId="0" borderId="1" xfId="7" applyFont="1" applyBorder="1" applyAlignment="1">
      <alignment horizontal="center" vertical="center"/>
    </xf>
    <xf numFmtId="0" fontId="4" fillId="0" borderId="4" xfId="3" applyNumberFormat="1" applyFont="1" applyBorder="1" applyAlignment="1">
      <alignment horizontal="center" vertical="center" wrapText="1"/>
    </xf>
    <xf numFmtId="166" fontId="6" fillId="0" borderId="0" xfId="7" applyAlignment="1">
      <alignment horizontal="left" vertical="top" wrapText="1"/>
    </xf>
    <xf numFmtId="0" fontId="14" fillId="0" borderId="4" xfId="3" applyNumberFormat="1" applyFont="1" applyBorder="1" applyAlignment="1">
      <alignment horizontal="center" vertical="center" wrapText="1"/>
    </xf>
    <xf numFmtId="166" fontId="19" fillId="0" borderId="4" xfId="7" applyFont="1" applyBorder="1" applyAlignment="1">
      <alignment horizontal="center" vertical="center"/>
    </xf>
    <xf numFmtId="166" fontId="18" fillId="0" borderId="0" xfId="7" applyFont="1" applyAlignment="1">
      <alignment horizontal="center"/>
    </xf>
    <xf numFmtId="166" fontId="19" fillId="0" borderId="5" xfId="7" applyFont="1" applyBorder="1" applyAlignment="1">
      <alignment horizontal="center" vertical="center"/>
    </xf>
    <xf numFmtId="166" fontId="19" fillId="0" borderId="2" xfId="7" applyFont="1" applyBorder="1" applyAlignment="1">
      <alignment horizontal="center" vertical="center"/>
    </xf>
    <xf numFmtId="166" fontId="19" fillId="0" borderId="3" xfId="7" applyFont="1" applyBorder="1" applyAlignment="1">
      <alignment horizontal="center" vertical="center"/>
    </xf>
    <xf numFmtId="0" fontId="4" fillId="0" borderId="4" xfId="3" applyNumberFormat="1" applyFont="1" applyFill="1" applyBorder="1" applyAlignment="1">
      <alignment horizontal="center" vertical="center"/>
    </xf>
    <xf numFmtId="0" fontId="4" fillId="0" borderId="2" xfId="3" applyNumberFormat="1" applyFont="1" applyBorder="1" applyAlignment="1">
      <alignment horizontal="center" vertical="center" wrapText="1"/>
    </xf>
    <xf numFmtId="0" fontId="4" fillId="0" borderId="3" xfId="3" applyNumberFormat="1" applyFont="1" applyBorder="1" applyAlignment="1">
      <alignment horizontal="center" vertical="center" wrapText="1"/>
    </xf>
    <xf numFmtId="0" fontId="4" fillId="0" borderId="5" xfId="3" applyNumberFormat="1" applyFont="1" applyBorder="1" applyAlignment="1">
      <alignment horizontal="center" vertical="center" wrapText="1"/>
    </xf>
    <xf numFmtId="166" fontId="14" fillId="0" borderId="4" xfId="7" applyFont="1" applyBorder="1" applyAlignment="1">
      <alignment horizontal="center" vertical="center"/>
    </xf>
    <xf numFmtId="166" fontId="20" fillId="8" borderId="1" xfId="0" applyFont="1" applyFill="1" applyBorder="1" applyAlignment="1">
      <alignment horizontal="center" vertical="center" wrapText="1"/>
    </xf>
    <xf numFmtId="166" fontId="0" fillId="0" borderId="0" xfId="0" applyAlignment="1">
      <alignment wrapText="1"/>
    </xf>
    <xf numFmtId="169" fontId="0" fillId="0" borderId="0" xfId="0" applyNumberFormat="1"/>
    <xf numFmtId="169" fontId="6" fillId="0" borderId="0" xfId="7" applyNumberFormat="1" applyAlignment="1">
      <alignment horizontal="center"/>
    </xf>
    <xf numFmtId="169" fontId="34" fillId="16" borderId="8" xfId="0" applyNumberFormat="1" applyFont="1" applyFill="1" applyBorder="1" applyAlignment="1">
      <alignment horizontal="center" vertical="center" wrapText="1"/>
    </xf>
    <xf numFmtId="169" fontId="34" fillId="19" borderId="8" xfId="0" applyNumberFormat="1" applyFont="1" applyFill="1" applyBorder="1" applyAlignment="1">
      <alignment horizontal="center" vertical="center" wrapText="1"/>
    </xf>
    <xf numFmtId="169" fontId="34" fillId="18" borderId="8" xfId="0" applyNumberFormat="1" applyFont="1" applyFill="1" applyBorder="1" applyAlignment="1">
      <alignment horizontal="center" vertical="center" wrapText="1"/>
    </xf>
    <xf numFmtId="169" fontId="34" fillId="21" borderId="8" xfId="0" applyNumberFormat="1" applyFont="1" applyFill="1" applyBorder="1" applyAlignment="1">
      <alignment horizontal="center" vertical="center" wrapText="1"/>
    </xf>
    <xf numFmtId="169" fontId="34" fillId="21" borderId="9" xfId="0" applyNumberFormat="1" applyFont="1" applyFill="1" applyBorder="1" applyAlignment="1">
      <alignment horizontal="center" vertical="center" wrapText="1"/>
    </xf>
    <xf numFmtId="166" fontId="34" fillId="16" borderId="8" xfId="0" applyFont="1" applyFill="1" applyBorder="1" applyAlignment="1">
      <alignment horizontal="center" vertical="center" wrapText="1"/>
    </xf>
    <xf numFmtId="166" fontId="34" fillId="19" borderId="8" xfId="0" applyFont="1" applyFill="1" applyBorder="1" applyAlignment="1">
      <alignment horizontal="center" vertical="center" wrapText="1"/>
    </xf>
    <xf numFmtId="166" fontId="34" fillId="18" borderId="8" xfId="0" applyFont="1" applyFill="1" applyBorder="1" applyAlignment="1">
      <alignment horizontal="center" vertical="center" wrapText="1"/>
    </xf>
    <xf numFmtId="166" fontId="34" fillId="21" borderId="8" xfId="0" applyFont="1" applyFill="1" applyBorder="1" applyAlignment="1">
      <alignment horizontal="center" vertical="center" wrapText="1"/>
    </xf>
    <xf numFmtId="166" fontId="34" fillId="21" borderId="9" xfId="0" applyFont="1" applyFill="1" applyBorder="1" applyAlignment="1">
      <alignment horizontal="center" vertical="center" wrapText="1"/>
    </xf>
    <xf numFmtId="166" fontId="34" fillId="16" borderId="10" xfId="0" applyFont="1" applyFill="1" applyBorder="1" applyAlignment="1">
      <alignment horizontal="left" vertical="center" wrapText="1"/>
    </xf>
    <xf numFmtId="166" fontId="34" fillId="19" borderId="10" xfId="0" applyFont="1" applyFill="1" applyBorder="1" applyAlignment="1">
      <alignment horizontal="left" vertical="center" wrapText="1"/>
    </xf>
    <xf numFmtId="166" fontId="34" fillId="18" borderId="10" xfId="0" applyFont="1" applyFill="1" applyBorder="1" applyAlignment="1">
      <alignment horizontal="left" vertical="center" wrapText="1"/>
    </xf>
    <xf numFmtId="166" fontId="34" fillId="21" borderId="10" xfId="0" applyFont="1" applyFill="1" applyBorder="1" applyAlignment="1">
      <alignment horizontal="left" vertical="center" wrapText="1"/>
    </xf>
    <xf numFmtId="166" fontId="34" fillId="21" borderId="11" xfId="0" applyFont="1" applyFill="1" applyBorder="1" applyAlignment="1">
      <alignment horizontal="left" vertical="center" wrapText="1"/>
    </xf>
    <xf numFmtId="166" fontId="34" fillId="16" borderId="8" xfId="0" applyFont="1" applyFill="1" applyBorder="1" applyAlignment="1">
      <alignment horizontal="left" vertical="center" wrapText="1"/>
    </xf>
    <xf numFmtId="166" fontId="34" fillId="19" borderId="8" xfId="0" applyFont="1" applyFill="1" applyBorder="1" applyAlignment="1">
      <alignment horizontal="left" vertical="center" wrapText="1"/>
    </xf>
    <xf numFmtId="166" fontId="34" fillId="18" borderId="8" xfId="0" applyFont="1" applyFill="1" applyBorder="1" applyAlignment="1">
      <alignment horizontal="left" vertical="center" wrapText="1"/>
    </xf>
    <xf numFmtId="166" fontId="34" fillId="21" borderId="8" xfId="0" applyFont="1" applyFill="1" applyBorder="1" applyAlignment="1">
      <alignment horizontal="left" vertical="center" wrapText="1"/>
    </xf>
    <xf numFmtId="166" fontId="34" fillId="21" borderId="9" xfId="0" applyFont="1" applyFill="1" applyBorder="1" applyAlignment="1">
      <alignment horizontal="left" vertical="center" wrapText="1"/>
    </xf>
    <xf numFmtId="170" fontId="34" fillId="16" borderId="8" xfId="0" applyNumberFormat="1" applyFont="1" applyFill="1" applyBorder="1" applyAlignment="1">
      <alignment horizontal="center" vertical="center" wrapText="1"/>
    </xf>
    <xf numFmtId="170" fontId="34" fillId="19" borderId="8" xfId="0" applyNumberFormat="1" applyFont="1" applyFill="1" applyBorder="1" applyAlignment="1">
      <alignment horizontal="center" vertical="center" wrapText="1"/>
    </xf>
    <xf numFmtId="170" fontId="34" fillId="18" borderId="8" xfId="0" applyNumberFormat="1" applyFont="1" applyFill="1" applyBorder="1" applyAlignment="1">
      <alignment horizontal="center" vertical="center" wrapText="1"/>
    </xf>
    <xf numFmtId="170" fontId="34" fillId="21" borderId="8" xfId="0" applyNumberFormat="1" applyFont="1" applyFill="1" applyBorder="1" applyAlignment="1">
      <alignment horizontal="center" vertical="center" wrapText="1"/>
    </xf>
    <xf numFmtId="170" fontId="34" fillId="21" borderId="9" xfId="0" applyNumberFormat="1" applyFont="1" applyFill="1" applyBorder="1" applyAlignment="1">
      <alignment horizontal="center" vertical="center" wrapText="1"/>
    </xf>
    <xf numFmtId="170" fontId="35" fillId="16" borderId="8" xfId="0" applyNumberFormat="1" applyFont="1" applyFill="1" applyBorder="1" applyAlignment="1">
      <alignment horizontal="center" vertical="center" wrapText="1"/>
    </xf>
    <xf numFmtId="170" fontId="35" fillId="19" borderId="8" xfId="0" applyNumberFormat="1" applyFont="1" applyFill="1" applyBorder="1" applyAlignment="1">
      <alignment horizontal="center" vertical="center" wrapText="1"/>
    </xf>
    <xf numFmtId="170" fontId="35" fillId="18" borderId="8" xfId="0" applyNumberFormat="1" applyFont="1" applyFill="1" applyBorder="1" applyAlignment="1">
      <alignment horizontal="center" vertical="center" wrapText="1"/>
    </xf>
    <xf numFmtId="170" fontId="35" fillId="21" borderId="8" xfId="0" applyNumberFormat="1" applyFont="1" applyFill="1" applyBorder="1" applyAlignment="1">
      <alignment horizontal="center" vertical="center" wrapText="1"/>
    </xf>
    <xf numFmtId="170" fontId="35" fillId="21" borderId="9" xfId="0" applyNumberFormat="1" applyFont="1" applyFill="1" applyBorder="1" applyAlignment="1">
      <alignment horizontal="center" vertical="center" wrapText="1"/>
    </xf>
    <xf numFmtId="170" fontId="36" fillId="16" borderId="8" xfId="0" applyNumberFormat="1" applyFont="1" applyFill="1" applyBorder="1" applyAlignment="1">
      <alignment horizontal="center" vertical="center" wrapText="1"/>
    </xf>
    <xf numFmtId="170" fontId="36" fillId="19" borderId="8" xfId="0" applyNumberFormat="1" applyFont="1" applyFill="1" applyBorder="1" applyAlignment="1">
      <alignment horizontal="center" vertical="center" wrapText="1"/>
    </xf>
    <xf numFmtId="170" fontId="36" fillId="18" borderId="8" xfId="0" applyNumberFormat="1" applyFont="1" applyFill="1" applyBorder="1" applyAlignment="1">
      <alignment horizontal="center" vertical="center" wrapText="1"/>
    </xf>
    <xf numFmtId="170" fontId="36" fillId="21" borderId="8" xfId="0" applyNumberFormat="1" applyFont="1" applyFill="1" applyBorder="1" applyAlignment="1">
      <alignment horizontal="center" vertical="center" wrapText="1"/>
    </xf>
    <xf numFmtId="170" fontId="36" fillId="21" borderId="9" xfId="0" applyNumberFormat="1" applyFont="1" applyFill="1" applyBorder="1" applyAlignment="1">
      <alignment horizontal="center" vertical="center" wrapText="1"/>
    </xf>
    <xf numFmtId="170" fontId="35" fillId="22" borderId="8" xfId="0" applyNumberFormat="1" applyFont="1" applyFill="1" applyBorder="1" applyAlignment="1">
      <alignment horizontal="center" vertical="center" wrapText="1"/>
    </xf>
    <xf numFmtId="170" fontId="35" fillId="22" borderId="9" xfId="0" applyNumberFormat="1" applyFont="1" applyFill="1" applyBorder="1" applyAlignment="1">
      <alignment horizontal="center" vertical="center" wrapText="1"/>
    </xf>
    <xf numFmtId="166" fontId="0" fillId="0" borderId="0" xfId="0" applyAlignment="1">
      <alignment horizontal="left" vertical="center" wrapText="1"/>
    </xf>
    <xf numFmtId="166" fontId="0" fillId="0" borderId="0" xfId="0" applyAlignment="1">
      <alignment vertical="center" wrapText="1"/>
    </xf>
    <xf numFmtId="166" fontId="34" fillId="16" borderId="12" xfId="0" applyFont="1" applyFill="1" applyBorder="1" applyAlignment="1">
      <alignment horizontal="left" vertical="center" wrapText="1"/>
    </xf>
    <xf numFmtId="166" fontId="34" fillId="19" borderId="12" xfId="0" applyFont="1" applyFill="1" applyBorder="1" applyAlignment="1">
      <alignment horizontal="left" vertical="center" wrapText="1"/>
    </xf>
    <xf numFmtId="166" fontId="34" fillId="18" borderId="12" xfId="0" applyFont="1" applyFill="1" applyBorder="1" applyAlignment="1">
      <alignment horizontal="left" vertical="center" wrapText="1"/>
    </xf>
    <xf numFmtId="166" fontId="34" fillId="21" borderId="12" xfId="0" applyFont="1" applyFill="1" applyBorder="1" applyAlignment="1">
      <alignment horizontal="left" vertical="center" wrapText="1"/>
    </xf>
    <xf numFmtId="166" fontId="34" fillId="21" borderId="13" xfId="0" applyFont="1" applyFill="1" applyBorder="1" applyAlignment="1">
      <alignment horizontal="left" vertical="center" wrapText="1"/>
    </xf>
    <xf numFmtId="170" fontId="35" fillId="22" borderId="8" xfId="0" applyNumberFormat="1" applyFont="1" applyFill="1" applyBorder="1" applyAlignment="1">
      <alignment horizontal="center" vertical="center"/>
    </xf>
    <xf numFmtId="169" fontId="34" fillId="16" borderId="8" xfId="0" applyNumberFormat="1" applyFont="1" applyFill="1" applyBorder="1" applyAlignment="1">
      <alignment horizontal="center" vertical="center"/>
    </xf>
    <xf numFmtId="170" fontId="34" fillId="16" borderId="8" xfId="0" applyNumberFormat="1" applyFont="1" applyFill="1" applyBorder="1" applyAlignment="1">
      <alignment horizontal="center" vertical="center"/>
    </xf>
    <xf numFmtId="170" fontId="35" fillId="16" borderId="8" xfId="0" applyNumberFormat="1" applyFont="1" applyFill="1" applyBorder="1" applyAlignment="1">
      <alignment horizontal="center" vertical="center"/>
    </xf>
    <xf numFmtId="166" fontId="34" fillId="16" borderId="8" xfId="0" applyFont="1" applyFill="1" applyBorder="1" applyAlignment="1">
      <alignment horizontal="center" vertical="center"/>
    </xf>
    <xf numFmtId="170" fontId="36" fillId="16" borderId="8" xfId="0" applyNumberFormat="1" applyFont="1" applyFill="1" applyBorder="1" applyAlignment="1">
      <alignment horizontal="center" vertical="center"/>
    </xf>
    <xf numFmtId="169" fontId="34" fillId="19" borderId="8" xfId="0" applyNumberFormat="1" applyFont="1" applyFill="1" applyBorder="1" applyAlignment="1">
      <alignment horizontal="center" vertical="center"/>
    </xf>
    <xf numFmtId="170" fontId="34" fillId="19" borderId="8" xfId="0" applyNumberFormat="1" applyFont="1" applyFill="1" applyBorder="1" applyAlignment="1">
      <alignment horizontal="center" vertical="center"/>
    </xf>
    <xf numFmtId="170" fontId="35" fillId="19" borderId="8" xfId="0" applyNumberFormat="1" applyFont="1" applyFill="1" applyBorder="1" applyAlignment="1">
      <alignment horizontal="center" vertical="center"/>
    </xf>
    <xf numFmtId="166" fontId="34" fillId="19" borderId="8" xfId="0" applyFont="1" applyFill="1" applyBorder="1" applyAlignment="1">
      <alignment horizontal="center" vertical="center"/>
    </xf>
    <xf numFmtId="170" fontId="36" fillId="19" borderId="8" xfId="0" applyNumberFormat="1" applyFont="1" applyFill="1" applyBorder="1" applyAlignment="1">
      <alignment horizontal="center" vertical="center"/>
    </xf>
    <xf numFmtId="169" fontId="34" fillId="18" borderId="8" xfId="0" applyNumberFormat="1" applyFont="1" applyFill="1" applyBorder="1" applyAlignment="1">
      <alignment horizontal="center" vertical="center"/>
    </xf>
    <xf numFmtId="170" fontId="34" fillId="18" borderId="8" xfId="0" applyNumberFormat="1" applyFont="1" applyFill="1" applyBorder="1" applyAlignment="1">
      <alignment horizontal="center" vertical="center"/>
    </xf>
    <xf numFmtId="170" fontId="35" fillId="18" borderId="8" xfId="0" applyNumberFormat="1" applyFont="1" applyFill="1" applyBorder="1" applyAlignment="1">
      <alignment horizontal="center" vertical="center"/>
    </xf>
    <xf numFmtId="166" fontId="34" fillId="18" borderId="8" xfId="0" applyFont="1" applyFill="1" applyBorder="1" applyAlignment="1">
      <alignment horizontal="center" vertical="center"/>
    </xf>
    <xf numFmtId="170" fontId="36" fillId="18" borderId="8" xfId="0" applyNumberFormat="1" applyFont="1" applyFill="1" applyBorder="1" applyAlignment="1">
      <alignment horizontal="center" vertical="center"/>
    </xf>
    <xf numFmtId="169" fontId="34" fillId="21" borderId="8" xfId="0" applyNumberFormat="1" applyFont="1" applyFill="1" applyBorder="1" applyAlignment="1">
      <alignment horizontal="center" vertical="center"/>
    </xf>
    <xf numFmtId="170" fontId="34" fillId="21" borderId="8" xfId="0" applyNumberFormat="1" applyFont="1" applyFill="1" applyBorder="1" applyAlignment="1">
      <alignment horizontal="center" vertical="center"/>
    </xf>
    <xf numFmtId="170" fontId="35" fillId="21" borderId="8" xfId="0" applyNumberFormat="1" applyFont="1" applyFill="1" applyBorder="1" applyAlignment="1">
      <alignment horizontal="center" vertical="center"/>
    </xf>
    <xf numFmtId="166" fontId="34" fillId="21" borderId="8" xfId="0" applyFont="1" applyFill="1" applyBorder="1" applyAlignment="1">
      <alignment horizontal="center" vertical="center"/>
    </xf>
    <xf numFmtId="170" fontId="36" fillId="21" borderId="8" xfId="0" applyNumberFormat="1" applyFont="1" applyFill="1" applyBorder="1" applyAlignment="1">
      <alignment horizontal="center" vertical="center"/>
    </xf>
    <xf numFmtId="169" fontId="34" fillId="21" borderId="9" xfId="0" applyNumberFormat="1" applyFont="1" applyFill="1" applyBorder="1" applyAlignment="1">
      <alignment horizontal="center" vertical="center"/>
    </xf>
    <xf numFmtId="170" fontId="34" fillId="21" borderId="9" xfId="0" applyNumberFormat="1" applyFont="1" applyFill="1" applyBorder="1" applyAlignment="1">
      <alignment horizontal="center" vertical="center"/>
    </xf>
    <xf numFmtId="170" fontId="35" fillId="21" borderId="9" xfId="0" applyNumberFormat="1" applyFont="1" applyFill="1" applyBorder="1" applyAlignment="1">
      <alignment horizontal="center" vertical="center"/>
    </xf>
    <xf numFmtId="170" fontId="35" fillId="22" borderId="9" xfId="0" applyNumberFormat="1" applyFont="1" applyFill="1" applyBorder="1" applyAlignment="1">
      <alignment horizontal="center" vertical="center"/>
    </xf>
    <xf numFmtId="166" fontId="34" fillId="21" borderId="9" xfId="0" applyFont="1" applyFill="1" applyBorder="1" applyAlignment="1">
      <alignment horizontal="center" vertical="center"/>
    </xf>
    <xf numFmtId="170" fontId="36" fillId="21" borderId="9" xfId="0" applyNumberFormat="1" applyFont="1" applyFill="1" applyBorder="1" applyAlignment="1">
      <alignment horizontal="center" vertical="center"/>
    </xf>
    <xf numFmtId="166" fontId="34" fillId="16" borderId="12" xfId="0" applyFont="1" applyFill="1" applyBorder="1" applyAlignment="1">
      <alignment horizontal="center" vertical="center"/>
    </xf>
    <xf numFmtId="166" fontId="34" fillId="19" borderId="12" xfId="0" applyFont="1" applyFill="1" applyBorder="1" applyAlignment="1">
      <alignment horizontal="center" vertical="center"/>
    </xf>
    <xf numFmtId="166" fontId="34" fillId="18" borderId="12" xfId="0" applyFont="1" applyFill="1" applyBorder="1" applyAlignment="1">
      <alignment horizontal="center" vertical="center"/>
    </xf>
    <xf numFmtId="166" fontId="34" fillId="21" borderId="12" xfId="0" applyFont="1" applyFill="1" applyBorder="1" applyAlignment="1">
      <alignment horizontal="center" vertical="center"/>
    </xf>
    <xf numFmtId="166" fontId="34" fillId="21" borderId="13" xfId="0" applyFont="1" applyFill="1" applyBorder="1" applyAlignment="1">
      <alignment horizontal="center" vertical="center"/>
    </xf>
    <xf numFmtId="170" fontId="0" fillId="0" borderId="0" xfId="0" applyNumberFormat="1"/>
    <xf numFmtId="170" fontId="6" fillId="0" borderId="0" xfId="7" applyNumberFormat="1" applyAlignment="1">
      <alignment horizontal="center"/>
    </xf>
    <xf numFmtId="170" fontId="6" fillId="0" borderId="0" xfId="7" applyNumberFormat="1" applyAlignment="1">
      <alignment horizontal="center" vertical="center"/>
    </xf>
    <xf numFmtId="170" fontId="6" fillId="0" borderId="0" xfId="7" applyNumberFormat="1" applyAlignment="1">
      <alignment horizontal="left" vertical="top"/>
    </xf>
    <xf numFmtId="166" fontId="34" fillId="16" borderId="10" xfId="0" applyFont="1" applyFill="1" applyBorder="1" applyAlignment="1">
      <alignment horizontal="left" vertical="center"/>
    </xf>
    <xf numFmtId="166" fontId="34" fillId="16" borderId="8" xfId="0" applyFont="1" applyFill="1" applyBorder="1" applyAlignment="1">
      <alignment horizontal="left" vertical="center"/>
    </xf>
    <xf numFmtId="166" fontId="34" fillId="19" borderId="10" xfId="0" applyFont="1" applyFill="1" applyBorder="1" applyAlignment="1">
      <alignment horizontal="left" vertical="center"/>
    </xf>
    <xf numFmtId="166" fontId="34" fillId="19" borderId="8" xfId="0" applyFont="1" applyFill="1" applyBorder="1" applyAlignment="1">
      <alignment horizontal="left" vertical="center"/>
    </xf>
    <xf numFmtId="166" fontId="34" fillId="18" borderId="10" xfId="0" applyFont="1" applyFill="1" applyBorder="1" applyAlignment="1">
      <alignment horizontal="left" vertical="center"/>
    </xf>
    <xf numFmtId="166" fontId="34" fillId="18" borderId="8" xfId="0" applyFont="1" applyFill="1" applyBorder="1" applyAlignment="1">
      <alignment horizontal="left" vertical="center"/>
    </xf>
    <xf numFmtId="166" fontId="34" fillId="21" borderId="10" xfId="0" applyFont="1" applyFill="1" applyBorder="1" applyAlignment="1">
      <alignment horizontal="left" vertical="center"/>
    </xf>
    <xf numFmtId="166" fontId="34" fillId="21" borderId="8" xfId="0" applyFont="1" applyFill="1" applyBorder="1" applyAlignment="1">
      <alignment horizontal="left" vertical="center"/>
    </xf>
    <xf numFmtId="166" fontId="34" fillId="17" borderId="10" xfId="0" applyFont="1" applyFill="1" applyBorder="1" applyAlignment="1">
      <alignment horizontal="left" vertical="center" wrapText="1"/>
    </xf>
    <xf numFmtId="166" fontId="34" fillId="17" borderId="8" xfId="0" applyFont="1" applyFill="1" applyBorder="1" applyAlignment="1">
      <alignment horizontal="left" vertical="center" wrapText="1"/>
    </xf>
    <xf numFmtId="169" fontId="34" fillId="17" borderId="8" xfId="0" applyNumberFormat="1" applyFont="1" applyFill="1" applyBorder="1" applyAlignment="1">
      <alignment horizontal="center" vertical="center" wrapText="1"/>
    </xf>
    <xf numFmtId="170" fontId="34" fillId="17" borderId="8" xfId="0" applyNumberFormat="1" applyFont="1" applyFill="1" applyBorder="1" applyAlignment="1">
      <alignment horizontal="center" vertical="center" wrapText="1"/>
    </xf>
    <xf numFmtId="170" fontId="35" fillId="17" borderId="8" xfId="0" applyNumberFormat="1" applyFont="1" applyFill="1" applyBorder="1" applyAlignment="1">
      <alignment horizontal="center" vertical="center" wrapText="1"/>
    </xf>
    <xf numFmtId="166" fontId="34" fillId="17" borderId="8" xfId="0" applyFont="1" applyFill="1" applyBorder="1" applyAlignment="1">
      <alignment horizontal="center" vertical="center" wrapText="1"/>
    </xf>
    <xf numFmtId="170" fontId="36" fillId="17" borderId="8" xfId="0" applyNumberFormat="1" applyFont="1" applyFill="1" applyBorder="1" applyAlignment="1">
      <alignment horizontal="center" vertical="center" wrapText="1"/>
    </xf>
    <xf numFmtId="166" fontId="34" fillId="17" borderId="12" xfId="0" applyFont="1" applyFill="1" applyBorder="1" applyAlignment="1">
      <alignment horizontal="left" vertical="center" wrapText="1"/>
    </xf>
    <xf numFmtId="166" fontId="34" fillId="20" borderId="10" xfId="0" applyFont="1" applyFill="1" applyBorder="1" applyAlignment="1">
      <alignment horizontal="left" vertical="center" wrapText="1"/>
    </xf>
    <xf numFmtId="166" fontId="34" fillId="20" borderId="8" xfId="0" applyFont="1" applyFill="1" applyBorder="1" applyAlignment="1">
      <alignment horizontal="left" vertical="center" wrapText="1"/>
    </xf>
    <xf numFmtId="169" fontId="34" fillId="20" borderId="8" xfId="0" applyNumberFormat="1" applyFont="1" applyFill="1" applyBorder="1" applyAlignment="1">
      <alignment horizontal="center" vertical="center" wrapText="1"/>
    </xf>
    <xf numFmtId="170" fontId="34" fillId="20" borderId="8" xfId="0" applyNumberFormat="1" applyFont="1" applyFill="1" applyBorder="1" applyAlignment="1">
      <alignment horizontal="center" vertical="center" wrapText="1"/>
    </xf>
    <xf numFmtId="170" fontId="35" fillId="20" borderId="8" xfId="0" applyNumberFormat="1" applyFont="1" applyFill="1" applyBorder="1" applyAlignment="1">
      <alignment horizontal="center" vertical="center" wrapText="1"/>
    </xf>
    <xf numFmtId="166" fontId="34" fillId="20" borderId="8" xfId="0" applyFont="1" applyFill="1" applyBorder="1" applyAlignment="1">
      <alignment horizontal="center" vertical="center" wrapText="1"/>
    </xf>
    <xf numFmtId="170" fontId="36" fillId="20" borderId="8" xfId="0" applyNumberFormat="1" applyFont="1" applyFill="1" applyBorder="1" applyAlignment="1">
      <alignment horizontal="center" vertical="center" wrapText="1"/>
    </xf>
    <xf numFmtId="166" fontId="34" fillId="20" borderId="12" xfId="0" applyFont="1" applyFill="1" applyBorder="1" applyAlignment="1">
      <alignment horizontal="left" vertical="center" wrapText="1"/>
    </xf>
    <xf numFmtId="166" fontId="33" fillId="9" borderId="26" xfId="0" applyFont="1" applyFill="1" applyBorder="1" applyAlignment="1">
      <alignment horizontal="center" vertical="center" wrapText="1"/>
    </xf>
    <xf numFmtId="166" fontId="33" fillId="9" borderId="27" xfId="0" applyFont="1" applyFill="1" applyBorder="1" applyAlignment="1">
      <alignment horizontal="center" vertical="center" wrapText="1"/>
    </xf>
    <xf numFmtId="169" fontId="33" fillId="9" borderId="27" xfId="0" applyNumberFormat="1" applyFont="1" applyFill="1" applyBorder="1" applyAlignment="1">
      <alignment horizontal="center" vertical="center" wrapText="1"/>
    </xf>
    <xf numFmtId="170" fontId="33" fillId="9" borderId="27" xfId="0" applyNumberFormat="1" applyFont="1" applyFill="1" applyBorder="1" applyAlignment="1">
      <alignment horizontal="center" vertical="center" wrapText="1"/>
    </xf>
    <xf numFmtId="170" fontId="33" fillId="23" borderId="27" xfId="0" applyNumberFormat="1" applyFont="1" applyFill="1" applyBorder="1" applyAlignment="1">
      <alignment horizontal="center" vertical="center" wrapText="1"/>
    </xf>
    <xf numFmtId="166" fontId="33" fillId="9" borderId="28" xfId="0" applyFont="1" applyFill="1" applyBorder="1" applyAlignment="1">
      <alignment horizontal="center" vertical="center" wrapText="1"/>
    </xf>
    <xf numFmtId="166" fontId="33" fillId="9" borderId="26" xfId="0" applyFont="1" applyFill="1" applyBorder="1" applyAlignment="1">
      <alignment horizontal="center" vertical="center"/>
    </xf>
    <xf numFmtId="166" fontId="33" fillId="9" borderId="27" xfId="0" applyFont="1" applyFill="1" applyBorder="1" applyAlignment="1">
      <alignment horizontal="center" vertical="center"/>
    </xf>
    <xf numFmtId="166" fontId="33" fillId="23" borderId="27" xfId="0" applyFont="1" applyFill="1" applyBorder="1" applyAlignment="1">
      <alignment horizontal="center" vertical="center"/>
    </xf>
    <xf numFmtId="166" fontId="33" fillId="9" borderId="28" xfId="0" applyFont="1" applyFill="1" applyBorder="1" applyAlignment="1">
      <alignment horizontal="center" vertical="center"/>
    </xf>
    <xf numFmtId="169" fontId="33" fillId="9" borderId="27" xfId="0" applyNumberFormat="1" applyFont="1" applyFill="1" applyBorder="1" applyAlignment="1">
      <alignment horizontal="center" vertical="center"/>
    </xf>
    <xf numFmtId="169" fontId="34" fillId="17" borderId="8" xfId="0" applyNumberFormat="1" applyFont="1" applyFill="1" applyBorder="1" applyAlignment="1">
      <alignment horizontal="center" vertical="center"/>
    </xf>
    <xf numFmtId="170" fontId="34" fillId="17" borderId="8" xfId="0" applyNumberFormat="1" applyFont="1" applyFill="1" applyBorder="1" applyAlignment="1">
      <alignment horizontal="center" vertical="center"/>
    </xf>
    <xf numFmtId="170" fontId="35" fillId="17" borderId="8" xfId="0" applyNumberFormat="1" applyFont="1" applyFill="1" applyBorder="1" applyAlignment="1">
      <alignment horizontal="center" vertical="center"/>
    </xf>
    <xf numFmtId="166" fontId="34" fillId="17" borderId="8" xfId="0" applyFont="1" applyFill="1" applyBorder="1" applyAlignment="1">
      <alignment horizontal="center" vertical="center"/>
    </xf>
    <xf numFmtId="170" fontId="36" fillId="17" borderId="8" xfId="0" applyNumberFormat="1" applyFont="1" applyFill="1" applyBorder="1" applyAlignment="1">
      <alignment horizontal="center" vertical="center"/>
    </xf>
    <xf numFmtId="166" fontId="34" fillId="17" borderId="12" xfId="0" applyFont="1" applyFill="1" applyBorder="1" applyAlignment="1">
      <alignment horizontal="center" vertical="center"/>
    </xf>
    <xf numFmtId="169" fontId="34" fillId="20" borderId="8" xfId="0" applyNumberFormat="1" applyFont="1" applyFill="1" applyBorder="1" applyAlignment="1">
      <alignment horizontal="center" vertical="center"/>
    </xf>
    <xf numFmtId="170" fontId="34" fillId="20" borderId="8" xfId="0" applyNumberFormat="1" applyFont="1" applyFill="1" applyBorder="1" applyAlignment="1">
      <alignment horizontal="center" vertical="center"/>
    </xf>
    <xf numFmtId="170" fontId="35" fillId="20" borderId="8" xfId="0" applyNumberFormat="1" applyFont="1" applyFill="1" applyBorder="1" applyAlignment="1">
      <alignment horizontal="center" vertical="center"/>
    </xf>
    <xf numFmtId="166" fontId="34" fillId="20" borderId="8" xfId="0" applyFont="1" applyFill="1" applyBorder="1" applyAlignment="1">
      <alignment horizontal="center" vertical="center"/>
    </xf>
    <xf numFmtId="170" fontId="36" fillId="20" borderId="8" xfId="0" applyNumberFormat="1" applyFont="1" applyFill="1" applyBorder="1" applyAlignment="1">
      <alignment horizontal="center" vertical="center"/>
    </xf>
    <xf numFmtId="166" fontId="34" fillId="20" borderId="12" xfId="0" applyFont="1" applyFill="1" applyBorder="1" applyAlignment="1">
      <alignment horizontal="center" vertical="center"/>
    </xf>
    <xf numFmtId="166" fontId="34" fillId="21" borderId="11" xfId="0" applyFont="1" applyFill="1" applyBorder="1" applyAlignment="1">
      <alignment vertical="center" wrapText="1"/>
    </xf>
    <xf numFmtId="166" fontId="34" fillId="21" borderId="9" xfId="0" applyFont="1" applyFill="1" applyBorder="1" applyAlignment="1">
      <alignment vertical="center" wrapText="1"/>
    </xf>
    <xf numFmtId="166" fontId="35" fillId="21" borderId="9" xfId="0" applyFont="1" applyFill="1" applyBorder="1" applyAlignment="1">
      <alignment vertical="center" wrapText="1"/>
    </xf>
    <xf numFmtId="166" fontId="35" fillId="22" borderId="9" xfId="0" applyFont="1" applyFill="1" applyBorder="1" applyAlignment="1">
      <alignment vertical="center" wrapText="1"/>
    </xf>
    <xf numFmtId="166" fontId="36" fillId="21" borderId="9" xfId="0" applyFont="1" applyFill="1" applyBorder="1" applyAlignment="1">
      <alignment vertical="center" wrapText="1"/>
    </xf>
    <xf numFmtId="166" fontId="34" fillId="21" borderId="13" xfId="0" applyFont="1" applyFill="1" applyBorder="1" applyAlignment="1">
      <alignment vertical="center" wrapText="1"/>
    </xf>
    <xf numFmtId="166" fontId="34" fillId="21" borderId="11" xfId="0" applyFont="1" applyFill="1" applyBorder="1" applyAlignment="1">
      <alignment horizontal="left" vertical="center"/>
    </xf>
    <xf numFmtId="166" fontId="34" fillId="21" borderId="9" xfId="0" applyFont="1" applyFill="1" applyBorder="1" applyAlignment="1">
      <alignment horizontal="left" vertical="center"/>
    </xf>
    <xf numFmtId="166" fontId="34" fillId="17" borderId="10" xfId="0" applyFont="1" applyFill="1" applyBorder="1" applyAlignment="1">
      <alignment horizontal="left" vertical="center"/>
    </xf>
    <xf numFmtId="166" fontId="34" fillId="17" borderId="8" xfId="0" applyFont="1" applyFill="1" applyBorder="1" applyAlignment="1">
      <alignment horizontal="left" vertical="center"/>
    </xf>
    <xf numFmtId="166" fontId="34" fillId="20" borderId="10" xfId="0" applyFont="1" applyFill="1" applyBorder="1" applyAlignment="1">
      <alignment horizontal="left" vertical="center"/>
    </xf>
    <xf numFmtId="166" fontId="34" fillId="20" borderId="8" xfId="0" applyFont="1" applyFill="1" applyBorder="1" applyAlignment="1">
      <alignment horizontal="left" vertical="center"/>
    </xf>
    <xf numFmtId="170" fontId="34" fillId="17" borderId="12" xfId="0" applyNumberFormat="1" applyFont="1" applyFill="1" applyBorder="1" applyAlignment="1">
      <alignment horizontal="center" vertical="center" wrapText="1"/>
    </xf>
    <xf numFmtId="170" fontId="34" fillId="16" borderId="12" xfId="0" applyNumberFormat="1" applyFont="1" applyFill="1" applyBorder="1" applyAlignment="1">
      <alignment horizontal="center" vertical="center" wrapText="1"/>
    </xf>
    <xf numFmtId="170" fontId="34" fillId="19" borderId="12" xfId="0" applyNumberFormat="1" applyFont="1" applyFill="1" applyBorder="1" applyAlignment="1">
      <alignment horizontal="center" vertical="center" wrapText="1"/>
    </xf>
    <xf numFmtId="170" fontId="34" fillId="20" borderId="12" xfId="0" applyNumberFormat="1" applyFont="1" applyFill="1" applyBorder="1" applyAlignment="1">
      <alignment horizontal="center" vertical="center" wrapText="1"/>
    </xf>
    <xf numFmtId="170" fontId="34" fillId="18" borderId="12" xfId="0" applyNumberFormat="1" applyFont="1" applyFill="1" applyBorder="1" applyAlignment="1">
      <alignment horizontal="center" vertical="center" wrapText="1"/>
    </xf>
    <xf numFmtId="170" fontId="34" fillId="21" borderId="12" xfId="0" applyNumberFormat="1" applyFont="1" applyFill="1" applyBorder="1" applyAlignment="1">
      <alignment horizontal="center" vertical="center" wrapText="1"/>
    </xf>
    <xf numFmtId="166" fontId="0" fillId="0" borderId="10" xfId="0" applyBorder="1" applyAlignment="1">
      <alignment horizontal="left"/>
    </xf>
    <xf numFmtId="166" fontId="0" fillId="0" borderId="8" xfId="0" applyBorder="1" applyAlignment="1">
      <alignment horizontal="left"/>
    </xf>
    <xf numFmtId="169" fontId="0" fillId="0" borderId="8" xfId="0" applyNumberFormat="1" applyBorder="1" applyAlignment="1">
      <alignment horizontal="center"/>
    </xf>
    <xf numFmtId="170" fontId="0" fillId="0" borderId="8" xfId="0" applyNumberFormat="1" applyBorder="1" applyAlignment="1">
      <alignment horizontal="center"/>
    </xf>
    <xf numFmtId="170" fontId="0" fillId="0" borderId="12" xfId="0" applyNumberFormat="1" applyBorder="1" applyAlignment="1">
      <alignment horizontal="center"/>
    </xf>
    <xf numFmtId="0" fontId="38" fillId="21" borderId="10" xfId="4" applyFont="1" applyFill="1" applyBorder="1" applyAlignment="1">
      <alignment horizontal="left" vertical="center" wrapText="1"/>
    </xf>
    <xf numFmtId="0" fontId="38" fillId="21" borderId="8" xfId="4" applyFont="1" applyFill="1" applyBorder="1" applyAlignment="1">
      <alignment horizontal="left" vertical="center" wrapText="1"/>
    </xf>
    <xf numFmtId="169" fontId="38" fillId="21" borderId="8" xfId="4" applyNumberFormat="1" applyFont="1" applyFill="1" applyBorder="1" applyAlignment="1">
      <alignment horizontal="center" vertical="center" wrapText="1"/>
    </xf>
    <xf numFmtId="170" fontId="38" fillId="21" borderId="8" xfId="4" applyNumberFormat="1" applyFont="1" applyFill="1" applyBorder="1" applyAlignment="1">
      <alignment horizontal="center" vertical="center" wrapText="1"/>
    </xf>
    <xf numFmtId="170" fontId="38" fillId="21" borderId="12" xfId="4" applyNumberFormat="1" applyFont="1" applyFill="1" applyBorder="1" applyAlignment="1">
      <alignment horizontal="center" vertical="center" wrapText="1"/>
    </xf>
    <xf numFmtId="0" fontId="38" fillId="21" borderId="11" xfId="4" applyFont="1" applyFill="1" applyBorder="1" applyAlignment="1">
      <alignment horizontal="left" vertical="center" wrapText="1"/>
    </xf>
    <xf numFmtId="0" fontId="38" fillId="21" borderId="9" xfId="4" applyFont="1" applyFill="1" applyBorder="1" applyAlignment="1">
      <alignment horizontal="left" vertical="center" wrapText="1"/>
    </xf>
    <xf numFmtId="169" fontId="38" fillId="21" borderId="9" xfId="4" applyNumberFormat="1" applyFont="1" applyFill="1" applyBorder="1" applyAlignment="1">
      <alignment horizontal="center" vertical="center" wrapText="1"/>
    </xf>
    <xf numFmtId="170" fontId="38" fillId="21" borderId="9" xfId="4" applyNumberFormat="1" applyFont="1" applyFill="1" applyBorder="1" applyAlignment="1">
      <alignment horizontal="center" vertical="center" wrapText="1"/>
    </xf>
    <xf numFmtId="170" fontId="38" fillId="21" borderId="13" xfId="4" applyNumberFormat="1" applyFont="1" applyFill="1" applyBorder="1" applyAlignment="1">
      <alignment horizontal="center" vertical="center" wrapText="1"/>
    </xf>
    <xf numFmtId="166" fontId="33" fillId="9" borderId="23" xfId="0" applyFont="1" applyFill="1" applyBorder="1" applyAlignment="1">
      <alignment horizontal="center" vertical="center"/>
    </xf>
    <xf numFmtId="166" fontId="33" fillId="9" borderId="24" xfId="0" applyFont="1" applyFill="1" applyBorder="1" applyAlignment="1">
      <alignment horizontal="center" vertical="center"/>
    </xf>
    <xf numFmtId="166" fontId="33" fillId="9" borderId="25" xfId="0" applyFont="1" applyFill="1" applyBorder="1" applyAlignment="1">
      <alignment horizontal="center" vertical="center"/>
    </xf>
    <xf numFmtId="166" fontId="33" fillId="9" borderId="23" xfId="0" applyFont="1" applyFill="1" applyBorder="1" applyAlignment="1">
      <alignment horizontal="left" vertical="center"/>
    </xf>
    <xf numFmtId="166" fontId="33" fillId="9" borderId="24" xfId="0" applyFont="1" applyFill="1" applyBorder="1" applyAlignment="1">
      <alignment horizontal="left" vertical="center"/>
    </xf>
    <xf numFmtId="169" fontId="33" fillId="9" borderId="24" xfId="0" applyNumberFormat="1" applyFont="1" applyFill="1" applyBorder="1" applyAlignment="1">
      <alignment horizontal="center" vertical="center"/>
    </xf>
    <xf numFmtId="170" fontId="33" fillId="9" borderId="24" xfId="0" applyNumberFormat="1" applyFont="1" applyFill="1" applyBorder="1" applyAlignment="1">
      <alignment horizontal="center" vertical="center"/>
    </xf>
    <xf numFmtId="170" fontId="33" fillId="9" borderId="25" xfId="0" applyNumberFormat="1" applyFont="1" applyFill="1" applyBorder="1" applyAlignment="1">
      <alignment horizontal="center" vertical="center"/>
    </xf>
    <xf numFmtId="166" fontId="32" fillId="15" borderId="10" xfId="0" applyFont="1" applyFill="1" applyBorder="1" applyAlignment="1">
      <alignment horizontal="left" vertical="center"/>
    </xf>
    <xf numFmtId="166" fontId="32" fillId="15" borderId="8" xfId="0" applyFont="1" applyFill="1" applyBorder="1" applyAlignment="1">
      <alignment horizontal="left" vertical="center"/>
    </xf>
    <xf numFmtId="166" fontId="32" fillId="15" borderId="12" xfId="0" applyFont="1" applyFill="1" applyBorder="1" applyAlignment="1">
      <alignment horizontal="left" vertical="center"/>
    </xf>
    <xf numFmtId="166" fontId="32" fillId="11" borderId="14" xfId="0" applyFont="1" applyFill="1" applyBorder="1" applyAlignment="1">
      <alignment horizontal="left" vertical="center"/>
    </xf>
    <xf numFmtId="166" fontId="32" fillId="11" borderId="15" xfId="0" applyFont="1" applyFill="1" applyBorder="1" applyAlignment="1">
      <alignment horizontal="left" vertical="center"/>
    </xf>
    <xf numFmtId="166" fontId="32" fillId="11" borderId="16" xfId="0" applyFont="1" applyFill="1" applyBorder="1" applyAlignment="1">
      <alignment horizontal="left" vertical="center"/>
    </xf>
    <xf numFmtId="166" fontId="32" fillId="10" borderId="10" xfId="0" applyFont="1" applyFill="1" applyBorder="1" applyAlignment="1">
      <alignment horizontal="left" vertical="center"/>
    </xf>
    <xf numFmtId="166" fontId="32" fillId="10" borderId="8" xfId="0" applyFont="1" applyFill="1" applyBorder="1" applyAlignment="1">
      <alignment horizontal="left" vertical="center"/>
    </xf>
    <xf numFmtId="166" fontId="32" fillId="10" borderId="12" xfId="0" applyFont="1" applyFill="1" applyBorder="1" applyAlignment="1">
      <alignment horizontal="left" vertical="center"/>
    </xf>
    <xf numFmtId="166" fontId="32" fillId="13" borderId="10" xfId="0" applyFont="1" applyFill="1" applyBorder="1" applyAlignment="1">
      <alignment horizontal="left" vertical="center"/>
    </xf>
    <xf numFmtId="166" fontId="32" fillId="13" borderId="8" xfId="0" applyFont="1" applyFill="1" applyBorder="1" applyAlignment="1">
      <alignment horizontal="left" vertical="center"/>
    </xf>
    <xf numFmtId="166" fontId="32" fillId="13" borderId="12" xfId="0" applyFont="1" applyFill="1" applyBorder="1" applyAlignment="1">
      <alignment horizontal="left" vertical="center"/>
    </xf>
    <xf numFmtId="166" fontId="32" fillId="14" borderId="10" xfId="0" applyFont="1" applyFill="1" applyBorder="1" applyAlignment="1">
      <alignment horizontal="left" vertical="center"/>
    </xf>
    <xf numFmtId="166" fontId="32" fillId="14" borderId="8" xfId="0" applyFont="1" applyFill="1" applyBorder="1" applyAlignment="1">
      <alignment horizontal="left" vertical="center"/>
    </xf>
    <xf numFmtId="166" fontId="32" fillId="14" borderId="12" xfId="0" applyFont="1" applyFill="1" applyBorder="1" applyAlignment="1">
      <alignment horizontal="left" vertical="center"/>
    </xf>
    <xf numFmtId="166" fontId="32" fillId="12" borderId="10" xfId="0" applyFont="1" applyFill="1" applyBorder="1" applyAlignment="1">
      <alignment horizontal="left" vertical="center"/>
    </xf>
    <xf numFmtId="166" fontId="32" fillId="12" borderId="8" xfId="0" applyFont="1" applyFill="1" applyBorder="1" applyAlignment="1">
      <alignment horizontal="left" vertical="center"/>
    </xf>
    <xf numFmtId="166" fontId="32" fillId="12" borderId="12" xfId="0" applyFont="1" applyFill="1" applyBorder="1" applyAlignment="1">
      <alignment horizontal="left" vertical="center"/>
    </xf>
    <xf numFmtId="166" fontId="37" fillId="9" borderId="17" xfId="0" applyFont="1" applyFill="1" applyBorder="1" applyAlignment="1">
      <alignment horizontal="left" vertical="center"/>
    </xf>
    <xf numFmtId="166" fontId="37" fillId="9" borderId="18" xfId="0" applyFont="1" applyFill="1" applyBorder="1" applyAlignment="1">
      <alignment horizontal="left" vertical="center"/>
    </xf>
    <xf numFmtId="166" fontId="37" fillId="9" borderId="19" xfId="0" applyFont="1" applyFill="1" applyBorder="1" applyAlignment="1">
      <alignment horizontal="left" vertical="center"/>
    </xf>
    <xf numFmtId="166" fontId="37" fillId="9" borderId="20" xfId="0" applyFont="1" applyFill="1" applyBorder="1" applyAlignment="1">
      <alignment horizontal="left" vertical="center"/>
    </xf>
    <xf numFmtId="166" fontId="37" fillId="9" borderId="21" xfId="0" applyFont="1" applyFill="1" applyBorder="1" applyAlignment="1">
      <alignment horizontal="left" vertical="center"/>
    </xf>
    <xf numFmtId="169" fontId="37" fillId="9" borderId="21" xfId="0" applyNumberFormat="1" applyFont="1" applyFill="1" applyBorder="1" applyAlignment="1">
      <alignment horizontal="center" vertical="center"/>
    </xf>
    <xf numFmtId="170" fontId="37" fillId="9" borderId="21" xfId="0" applyNumberFormat="1" applyFont="1" applyFill="1" applyBorder="1" applyAlignment="1">
      <alignment horizontal="center" vertical="center"/>
    </xf>
    <xf numFmtId="170" fontId="37" fillId="9" borderId="22" xfId="0" applyNumberFormat="1" applyFont="1" applyFill="1" applyBorder="1" applyAlignment="1">
      <alignment horizontal="center" vertical="center"/>
    </xf>
    <xf numFmtId="169" fontId="32" fillId="11" borderId="15" xfId="0" applyNumberFormat="1" applyFont="1" applyFill="1" applyBorder="1" applyAlignment="1">
      <alignment horizontal="center" vertical="center"/>
    </xf>
    <xf numFmtId="170" fontId="32" fillId="11" borderId="15" xfId="0" applyNumberFormat="1" applyFont="1" applyFill="1" applyBorder="1" applyAlignment="1">
      <alignment horizontal="center" vertical="center"/>
    </xf>
    <xf numFmtId="170" fontId="32" fillId="11" borderId="16" xfId="0" applyNumberFormat="1" applyFont="1" applyFill="1" applyBorder="1" applyAlignment="1">
      <alignment horizontal="center" vertical="center"/>
    </xf>
    <xf numFmtId="169" fontId="32" fillId="10" borderId="8" xfId="0" applyNumberFormat="1" applyFont="1" applyFill="1" applyBorder="1" applyAlignment="1">
      <alignment horizontal="center" vertical="center"/>
    </xf>
    <xf numFmtId="170" fontId="32" fillId="10" borderId="8" xfId="0" applyNumberFormat="1" applyFont="1" applyFill="1" applyBorder="1" applyAlignment="1">
      <alignment horizontal="center" vertical="center"/>
    </xf>
    <xf numFmtId="170" fontId="32" fillId="10" borderId="12" xfId="0" applyNumberFormat="1" applyFont="1" applyFill="1" applyBorder="1" applyAlignment="1">
      <alignment horizontal="center" vertical="center"/>
    </xf>
    <xf numFmtId="169" fontId="32" fillId="13" borderId="8" xfId="0" applyNumberFormat="1" applyFont="1" applyFill="1" applyBorder="1" applyAlignment="1">
      <alignment horizontal="center" vertical="center"/>
    </xf>
    <xf numFmtId="170" fontId="32" fillId="13" borderId="8" xfId="0" applyNumberFormat="1" applyFont="1" applyFill="1" applyBorder="1" applyAlignment="1">
      <alignment horizontal="center" vertical="center"/>
    </xf>
    <xf numFmtId="170" fontId="32" fillId="13" borderId="12" xfId="0" applyNumberFormat="1" applyFont="1" applyFill="1" applyBorder="1" applyAlignment="1">
      <alignment horizontal="center" vertical="center"/>
    </xf>
    <xf numFmtId="169" fontId="32" fillId="14" borderId="8" xfId="0" applyNumberFormat="1" applyFont="1" applyFill="1" applyBorder="1" applyAlignment="1">
      <alignment horizontal="center" vertical="center"/>
    </xf>
    <xf numFmtId="170" fontId="32" fillId="14" borderId="8" xfId="0" applyNumberFormat="1" applyFont="1" applyFill="1" applyBorder="1" applyAlignment="1">
      <alignment horizontal="center" vertical="center"/>
    </xf>
    <xf numFmtId="170" fontId="32" fillId="14" borderId="12" xfId="0" applyNumberFormat="1" applyFont="1" applyFill="1" applyBorder="1" applyAlignment="1">
      <alignment horizontal="center" vertical="center"/>
    </xf>
    <xf numFmtId="169" fontId="32" fillId="12" borderId="8" xfId="0" applyNumberFormat="1" applyFont="1" applyFill="1" applyBorder="1" applyAlignment="1">
      <alignment horizontal="center" vertical="center"/>
    </xf>
    <xf numFmtId="170" fontId="32" fillId="12" borderId="8" xfId="0" applyNumberFormat="1" applyFont="1" applyFill="1" applyBorder="1" applyAlignment="1">
      <alignment horizontal="center" vertical="center"/>
    </xf>
    <xf numFmtId="170" fontId="32" fillId="12" borderId="12" xfId="0" applyNumberFormat="1" applyFont="1" applyFill="1" applyBorder="1" applyAlignment="1">
      <alignment horizontal="center" vertical="center"/>
    </xf>
    <xf numFmtId="169" fontId="32" fillId="15" borderId="8" xfId="0" applyNumberFormat="1" applyFont="1" applyFill="1" applyBorder="1" applyAlignment="1">
      <alignment horizontal="center" vertical="center"/>
    </xf>
    <xf numFmtId="170" fontId="32" fillId="15" borderId="8" xfId="0" applyNumberFormat="1" applyFont="1" applyFill="1" applyBorder="1" applyAlignment="1">
      <alignment horizontal="center" vertical="center"/>
    </xf>
    <xf numFmtId="170" fontId="32" fillId="15" borderId="12" xfId="0" applyNumberFormat="1" applyFont="1" applyFill="1" applyBorder="1" applyAlignment="1">
      <alignment horizontal="center" vertical="center"/>
    </xf>
    <xf numFmtId="166" fontId="6" fillId="5" borderId="1" xfId="7" applyFill="1" applyBorder="1" applyAlignment="1">
      <alignment horizontal="center" vertical="center"/>
    </xf>
    <xf numFmtId="0" fontId="4" fillId="4" borderId="2" xfId="3" applyNumberFormat="1" applyFont="1" applyFill="1" applyBorder="1" applyAlignment="1">
      <alignment horizontal="left" vertical="top" wrapText="1"/>
    </xf>
    <xf numFmtId="0" fontId="4" fillId="4" borderId="3" xfId="3" applyNumberFormat="1" applyFont="1" applyFill="1" applyBorder="1" applyAlignment="1">
      <alignment horizontal="left" vertical="top" wrapText="1"/>
    </xf>
    <xf numFmtId="0" fontId="4" fillId="4" borderId="5" xfId="3" applyNumberFormat="1" applyFont="1" applyFill="1" applyBorder="1" applyAlignment="1">
      <alignment horizontal="left" vertical="top" wrapText="1"/>
    </xf>
    <xf numFmtId="0" fontId="6" fillId="2" borderId="1" xfId="7" applyNumberFormat="1" applyFill="1" applyBorder="1" applyAlignment="1">
      <alignment horizontal="center" vertical="center" wrapText="1"/>
    </xf>
    <xf numFmtId="0" fontId="9" fillId="0" borderId="2" xfId="7" applyNumberFormat="1" applyFont="1" applyBorder="1" applyAlignment="1">
      <alignment horizontal="left" vertical="center" wrapText="1"/>
    </xf>
    <xf numFmtId="0" fontId="9" fillId="0" borderId="5" xfId="7" applyNumberFormat="1" applyFont="1" applyBorder="1" applyAlignment="1">
      <alignment horizontal="left" vertical="center" wrapText="1"/>
    </xf>
    <xf numFmtId="166" fontId="6" fillId="5" borderId="7" xfId="7" applyFill="1" applyBorder="1" applyAlignment="1">
      <alignment horizontal="center" vertical="center"/>
    </xf>
    <xf numFmtId="166" fontId="6" fillId="5" borderId="6" xfId="7" applyFill="1" applyBorder="1" applyAlignment="1">
      <alignment horizontal="center" vertical="center"/>
    </xf>
    <xf numFmtId="0" fontId="10" fillId="5" borderId="1" xfId="7" applyNumberFormat="1" applyFont="1" applyFill="1" applyBorder="1" applyAlignment="1">
      <alignment horizontal="center" vertical="center" wrapText="1"/>
    </xf>
    <xf numFmtId="166" fontId="6" fillId="5" borderId="2" xfId="7" applyFill="1" applyBorder="1" applyAlignment="1">
      <alignment horizontal="center" vertical="center"/>
    </xf>
    <xf numFmtId="166" fontId="6" fillId="5" borderId="3" xfId="7" applyFill="1" applyBorder="1" applyAlignment="1">
      <alignment horizontal="center" vertical="center"/>
    </xf>
    <xf numFmtId="166" fontId="6" fillId="5" borderId="5" xfId="7" applyFill="1" applyBorder="1" applyAlignment="1">
      <alignment horizontal="center" vertical="center"/>
    </xf>
    <xf numFmtId="0" fontId="11" fillId="0" borderId="2" xfId="7" applyNumberFormat="1" applyFont="1" applyBorder="1" applyAlignment="1">
      <alignment horizontal="left" vertical="center" wrapText="1"/>
    </xf>
    <xf numFmtId="0" fontId="9" fillId="0" borderId="3" xfId="7" applyNumberFormat="1" applyFont="1" applyBorder="1" applyAlignment="1">
      <alignment horizontal="left" vertical="center" wrapText="1"/>
    </xf>
    <xf numFmtId="0" fontId="6" fillId="5" borderId="2" xfId="7" applyNumberFormat="1" applyFill="1" applyBorder="1" applyAlignment="1">
      <alignment horizontal="center" vertical="center" wrapText="1"/>
    </xf>
    <xf numFmtId="0" fontId="6" fillId="5" borderId="3" xfId="7" applyNumberFormat="1" applyFill="1" applyBorder="1" applyAlignment="1">
      <alignment horizontal="center" vertical="center" wrapText="1"/>
    </xf>
    <xf numFmtId="0" fontId="6" fillId="5" borderId="5" xfId="7" applyNumberFormat="1" applyFill="1" applyBorder="1" applyAlignment="1">
      <alignment horizontal="center" vertical="center" wrapText="1"/>
    </xf>
    <xf numFmtId="0" fontId="21" fillId="0" borderId="1" xfId="7" applyNumberFormat="1" applyFont="1" applyBorder="1" applyAlignment="1">
      <alignment horizontal="left" vertical="center" wrapText="1"/>
    </xf>
    <xf numFmtId="0" fontId="9" fillId="0" borderId="1" xfId="7" applyNumberFormat="1" applyFont="1" applyBorder="1" applyAlignment="1">
      <alignment horizontal="left" vertical="center"/>
    </xf>
    <xf numFmtId="0" fontId="6" fillId="2" borderId="1" xfId="7" applyNumberFormat="1" applyFill="1" applyBorder="1" applyAlignment="1">
      <alignment horizontal="center" vertical="center"/>
    </xf>
    <xf numFmtId="166" fontId="19" fillId="0" borderId="2" xfId="7" applyFont="1" applyBorder="1" applyAlignment="1">
      <alignment horizontal="center" vertical="center"/>
    </xf>
    <xf numFmtId="166" fontId="19" fillId="0" borderId="5" xfId="7" applyFont="1" applyBorder="1" applyAlignment="1">
      <alignment horizontal="center" vertical="center"/>
    </xf>
    <xf numFmtId="0" fontId="9" fillId="0" borderId="1" xfId="7" applyNumberFormat="1" applyFont="1" applyBorder="1" applyAlignment="1">
      <alignment horizontal="left" vertical="center" wrapText="1"/>
    </xf>
    <xf numFmtId="0" fontId="4" fillId="0" borderId="2" xfId="3" applyNumberFormat="1" applyFont="1" applyBorder="1" applyAlignment="1">
      <alignment horizontal="center" vertical="center" wrapText="1"/>
    </xf>
    <xf numFmtId="0" fontId="4" fillId="0" borderId="3" xfId="3" applyNumberFormat="1" applyFont="1" applyBorder="1" applyAlignment="1">
      <alignment horizontal="center" vertical="center" wrapText="1"/>
    </xf>
    <xf numFmtId="0" fontId="4" fillId="0" borderId="5" xfId="3" applyNumberFormat="1" applyFont="1" applyBorder="1" applyAlignment="1">
      <alignment horizontal="center" vertical="center" wrapText="1"/>
    </xf>
    <xf numFmtId="0" fontId="16" fillId="0" borderId="2" xfId="3" applyNumberFormat="1" applyFont="1" applyBorder="1" applyAlignment="1">
      <alignment horizontal="center" vertical="center"/>
    </xf>
    <xf numFmtId="0" fontId="16" fillId="0" borderId="5" xfId="3" applyNumberFormat="1" applyFont="1" applyBorder="1" applyAlignment="1">
      <alignment horizontal="center" vertical="center"/>
    </xf>
    <xf numFmtId="0" fontId="10" fillId="2" borderId="1" xfId="7" applyNumberFormat="1" applyFont="1" applyFill="1" applyBorder="1" applyAlignment="1">
      <alignment horizontal="center" vertical="center"/>
    </xf>
    <xf numFmtId="166" fontId="19" fillId="0" borderId="1" xfId="7" applyFont="1" applyBorder="1" applyAlignment="1">
      <alignment horizontal="center" vertical="center"/>
    </xf>
    <xf numFmtId="0" fontId="9" fillId="0" borderId="2" xfId="7" applyNumberFormat="1" applyFont="1" applyBorder="1" applyAlignment="1">
      <alignment horizontal="left" vertical="top" wrapText="1"/>
    </xf>
    <xf numFmtId="0" fontId="9" fillId="0" borderId="3" xfId="7" applyNumberFormat="1" applyFont="1" applyBorder="1" applyAlignment="1">
      <alignment horizontal="left" vertical="top" wrapText="1"/>
    </xf>
    <xf numFmtId="0" fontId="9" fillId="0" borderId="5" xfId="7" applyNumberFormat="1" applyFont="1" applyBorder="1" applyAlignment="1">
      <alignment horizontal="left" vertical="top" wrapText="1"/>
    </xf>
    <xf numFmtId="166" fontId="19" fillId="0" borderId="3" xfId="7" applyFont="1" applyBorder="1" applyAlignment="1">
      <alignment horizontal="center" vertical="center"/>
    </xf>
    <xf numFmtId="166" fontId="34" fillId="17" borderId="8" xfId="0" applyFont="1" applyFill="1" applyBorder="1" applyAlignment="1">
      <alignment horizontal="left"/>
    </xf>
    <xf numFmtId="169" fontId="34" fillId="17" borderId="8" xfId="0" applyNumberFormat="1" applyFont="1" applyFill="1" applyBorder="1" applyAlignment="1">
      <alignment horizontal="center"/>
    </xf>
    <xf numFmtId="170" fontId="34" fillId="17" borderId="8" xfId="0" applyNumberFormat="1" applyFont="1" applyFill="1" applyBorder="1" applyAlignment="1">
      <alignment horizontal="center"/>
    </xf>
    <xf numFmtId="170" fontId="35" fillId="17" borderId="8" xfId="0" applyNumberFormat="1" applyFont="1" applyFill="1" applyBorder="1" applyAlignment="1">
      <alignment horizontal="center"/>
    </xf>
    <xf numFmtId="170" fontId="35" fillId="22" borderId="8" xfId="0" applyNumberFormat="1" applyFont="1" applyFill="1" applyBorder="1" applyAlignment="1">
      <alignment horizontal="center"/>
    </xf>
    <xf numFmtId="166" fontId="34" fillId="17" borderId="8" xfId="0" applyFont="1" applyFill="1" applyBorder="1" applyAlignment="1">
      <alignment horizontal="center"/>
    </xf>
    <xf numFmtId="170" fontId="36" fillId="17" borderId="8" xfId="0" applyNumberFormat="1" applyFont="1" applyFill="1" applyBorder="1" applyAlignment="1">
      <alignment horizontal="center"/>
    </xf>
    <xf numFmtId="166" fontId="32" fillId="10" borderId="8" xfId="0" applyFont="1" applyFill="1" applyBorder="1" applyAlignment="1">
      <alignment horizontal="left"/>
    </xf>
    <xf numFmtId="166" fontId="34" fillId="16" borderId="8" xfId="0" applyFont="1" applyFill="1" applyBorder="1" applyAlignment="1">
      <alignment horizontal="left"/>
    </xf>
    <xf numFmtId="169" fontId="34" fillId="16" borderId="8" xfId="0" applyNumberFormat="1" applyFont="1" applyFill="1" applyBorder="1" applyAlignment="1">
      <alignment horizontal="center"/>
    </xf>
    <xf numFmtId="170" fontId="34" fillId="16" borderId="8" xfId="0" applyNumberFormat="1" applyFont="1" applyFill="1" applyBorder="1" applyAlignment="1">
      <alignment horizontal="center"/>
    </xf>
    <xf numFmtId="170" fontId="35" fillId="16" borderId="8" xfId="0" applyNumberFormat="1" applyFont="1" applyFill="1" applyBorder="1" applyAlignment="1">
      <alignment horizontal="center"/>
    </xf>
    <xf numFmtId="166" fontId="34" fillId="16" borderId="8" xfId="0" applyFont="1" applyFill="1" applyBorder="1" applyAlignment="1">
      <alignment horizontal="center"/>
    </xf>
    <xf numFmtId="170" fontId="36" fillId="16" borderId="8" xfId="0" applyNumberFormat="1" applyFont="1" applyFill="1" applyBorder="1" applyAlignment="1">
      <alignment horizontal="center"/>
    </xf>
    <xf numFmtId="166" fontId="32" fillId="13" borderId="8" xfId="0" applyFont="1" applyFill="1" applyBorder="1" applyAlignment="1">
      <alignment horizontal="left"/>
    </xf>
    <xf numFmtId="166" fontId="34" fillId="19" borderId="8" xfId="0" applyFont="1" applyFill="1" applyBorder="1" applyAlignment="1">
      <alignment horizontal="left"/>
    </xf>
    <xf numFmtId="169" fontId="34" fillId="19" borderId="8" xfId="0" applyNumberFormat="1" applyFont="1" applyFill="1" applyBorder="1" applyAlignment="1">
      <alignment horizontal="center"/>
    </xf>
    <xf numFmtId="170" fontId="34" fillId="19" borderId="8" xfId="0" applyNumberFormat="1" applyFont="1" applyFill="1" applyBorder="1" applyAlignment="1">
      <alignment horizontal="center"/>
    </xf>
    <xf numFmtId="170" fontId="35" fillId="19" borderId="8" xfId="0" applyNumberFormat="1" applyFont="1" applyFill="1" applyBorder="1" applyAlignment="1">
      <alignment horizontal="center"/>
    </xf>
    <xf numFmtId="166" fontId="34" fillId="19" borderId="8" xfId="0" applyFont="1" applyFill="1" applyBorder="1" applyAlignment="1">
      <alignment horizontal="center"/>
    </xf>
    <xf numFmtId="170" fontId="36" fillId="19" borderId="8" xfId="0" applyNumberFormat="1" applyFont="1" applyFill="1" applyBorder="1" applyAlignment="1">
      <alignment horizontal="center"/>
    </xf>
    <xf numFmtId="166" fontId="32" fillId="24" borderId="8" xfId="0" applyFont="1" applyFill="1" applyBorder="1" applyAlignment="1">
      <alignment horizontal="left"/>
    </xf>
    <xf numFmtId="166" fontId="34" fillId="20" borderId="8" xfId="0" applyFont="1" applyFill="1" applyBorder="1" applyAlignment="1">
      <alignment horizontal="left"/>
    </xf>
    <xf numFmtId="169" fontId="34" fillId="20" borderId="8" xfId="0" applyNumberFormat="1" applyFont="1" applyFill="1" applyBorder="1" applyAlignment="1">
      <alignment horizontal="center"/>
    </xf>
    <xf numFmtId="170" fontId="34" fillId="20" borderId="8" xfId="0" applyNumberFormat="1" applyFont="1" applyFill="1" applyBorder="1" applyAlignment="1">
      <alignment horizontal="center"/>
    </xf>
    <xf numFmtId="170" fontId="35" fillId="20" borderId="8" xfId="0" applyNumberFormat="1" applyFont="1" applyFill="1" applyBorder="1" applyAlignment="1">
      <alignment horizontal="center"/>
    </xf>
    <xf numFmtId="166" fontId="34" fillId="20" borderId="8" xfId="0" applyFont="1" applyFill="1" applyBorder="1" applyAlignment="1">
      <alignment horizontal="center"/>
    </xf>
    <xf numFmtId="170" fontId="36" fillId="20" borderId="8" xfId="0" applyNumberFormat="1" applyFont="1" applyFill="1" applyBorder="1" applyAlignment="1">
      <alignment horizontal="center"/>
    </xf>
    <xf numFmtId="166" fontId="32" fillId="12" borderId="8" xfId="0" applyFont="1" applyFill="1" applyBorder="1" applyAlignment="1">
      <alignment horizontal="left"/>
    </xf>
    <xf numFmtId="166" fontId="34" fillId="18" borderId="8" xfId="0" applyFont="1" applyFill="1" applyBorder="1" applyAlignment="1">
      <alignment horizontal="left"/>
    </xf>
    <xf numFmtId="169" fontId="34" fillId="18" borderId="8" xfId="0" applyNumberFormat="1" applyFont="1" applyFill="1" applyBorder="1" applyAlignment="1">
      <alignment horizontal="center"/>
    </xf>
    <xf numFmtId="170" fontId="34" fillId="18" borderId="8" xfId="0" applyNumberFormat="1" applyFont="1" applyFill="1" applyBorder="1" applyAlignment="1">
      <alignment horizontal="center"/>
    </xf>
    <xf numFmtId="170" fontId="35" fillId="18" borderId="8" xfId="0" applyNumberFormat="1" applyFont="1" applyFill="1" applyBorder="1" applyAlignment="1">
      <alignment horizontal="center"/>
    </xf>
    <xf numFmtId="166" fontId="34" fillId="18" borderId="8" xfId="0" applyFont="1" applyFill="1" applyBorder="1" applyAlignment="1">
      <alignment horizontal="center"/>
    </xf>
    <xf numFmtId="170" fontId="36" fillId="18" borderId="8" xfId="0" applyNumberFormat="1" applyFont="1" applyFill="1" applyBorder="1" applyAlignment="1">
      <alignment horizontal="center"/>
    </xf>
    <xf numFmtId="166" fontId="32" fillId="15" borderId="8" xfId="0" applyFont="1" applyFill="1" applyBorder="1" applyAlignment="1">
      <alignment horizontal="left"/>
    </xf>
    <xf numFmtId="166" fontId="34" fillId="21" borderId="8" xfId="0" applyFont="1" applyFill="1" applyBorder="1" applyAlignment="1">
      <alignment horizontal="left"/>
    </xf>
    <xf numFmtId="169" fontId="34" fillId="21" borderId="8" xfId="0" applyNumberFormat="1" applyFont="1" applyFill="1" applyBorder="1" applyAlignment="1">
      <alignment horizontal="center"/>
    </xf>
    <xf numFmtId="170" fontId="34" fillId="21" borderId="8" xfId="0" applyNumberFormat="1" applyFont="1" applyFill="1" applyBorder="1" applyAlignment="1">
      <alignment horizontal="center"/>
    </xf>
    <xf numFmtId="170" fontId="35" fillId="21" borderId="8" xfId="0" applyNumberFormat="1" applyFont="1" applyFill="1" applyBorder="1" applyAlignment="1">
      <alignment horizontal="center"/>
    </xf>
    <xf numFmtId="166" fontId="34" fillId="21" borderId="8" xfId="0" applyFont="1" applyFill="1" applyBorder="1" applyAlignment="1">
      <alignment horizontal="center"/>
    </xf>
    <xf numFmtId="170" fontId="36" fillId="21" borderId="8" xfId="0" applyNumberFormat="1" applyFont="1" applyFill="1" applyBorder="1" applyAlignment="1">
      <alignment horizontal="center"/>
    </xf>
    <xf numFmtId="166" fontId="34" fillId="21" borderId="9" xfId="0" applyFont="1" applyFill="1" applyBorder="1" applyAlignment="1">
      <alignment horizontal="left"/>
    </xf>
    <xf numFmtId="169" fontId="34" fillId="21" borderId="9" xfId="0" applyNumberFormat="1" applyFont="1" applyFill="1" applyBorder="1" applyAlignment="1">
      <alignment horizontal="center"/>
    </xf>
    <xf numFmtId="170" fontId="34" fillId="21" borderId="9" xfId="0" applyNumberFormat="1" applyFont="1" applyFill="1" applyBorder="1" applyAlignment="1">
      <alignment horizontal="center"/>
    </xf>
    <xf numFmtId="170" fontId="35" fillId="21" borderId="9" xfId="0" applyNumberFormat="1" applyFont="1" applyFill="1" applyBorder="1" applyAlignment="1">
      <alignment horizontal="center"/>
    </xf>
    <xf numFmtId="170" fontId="35" fillId="22" borderId="9" xfId="0" applyNumberFormat="1" applyFont="1" applyFill="1" applyBorder="1" applyAlignment="1">
      <alignment horizontal="center"/>
    </xf>
    <xf numFmtId="166" fontId="34" fillId="21" borderId="9" xfId="0" applyFont="1" applyFill="1" applyBorder="1" applyAlignment="1">
      <alignment horizontal="center"/>
    </xf>
    <xf numFmtId="170" fontId="36" fillId="21" borderId="9" xfId="0" applyNumberFormat="1" applyFont="1" applyFill="1" applyBorder="1" applyAlignment="1">
      <alignment horizontal="center"/>
    </xf>
    <xf numFmtId="166" fontId="34" fillId="17" borderId="10" xfId="0" applyFont="1" applyFill="1" applyBorder="1" applyAlignment="1">
      <alignment horizontal="left"/>
    </xf>
    <xf numFmtId="166" fontId="32" fillId="10" borderId="10" xfId="0" applyFont="1" applyFill="1" applyBorder="1" applyAlignment="1">
      <alignment horizontal="left"/>
    </xf>
    <xf numFmtId="166" fontId="34" fillId="16" borderId="10" xfId="0" applyFont="1" applyFill="1" applyBorder="1" applyAlignment="1">
      <alignment horizontal="left"/>
    </xf>
    <xf numFmtId="166" fontId="32" fillId="13" borderId="10" xfId="0" applyFont="1" applyFill="1" applyBorder="1" applyAlignment="1">
      <alignment horizontal="left"/>
    </xf>
    <xf numFmtId="166" fontId="34" fillId="19" borderId="10" xfId="0" applyFont="1" applyFill="1" applyBorder="1" applyAlignment="1">
      <alignment horizontal="left"/>
    </xf>
    <xf numFmtId="166" fontId="32" fillId="24" borderId="10" xfId="0" applyFont="1" applyFill="1" applyBorder="1" applyAlignment="1">
      <alignment horizontal="left"/>
    </xf>
    <xf numFmtId="166" fontId="34" fillId="20" borderId="10" xfId="0" applyFont="1" applyFill="1" applyBorder="1" applyAlignment="1">
      <alignment horizontal="left"/>
    </xf>
    <xf numFmtId="166" fontId="32" fillId="12" borderId="10" xfId="0" applyFont="1" applyFill="1" applyBorder="1" applyAlignment="1">
      <alignment horizontal="left"/>
    </xf>
    <xf numFmtId="166" fontId="34" fillId="18" borderId="10" xfId="0" applyFont="1" applyFill="1" applyBorder="1" applyAlignment="1">
      <alignment horizontal="left"/>
    </xf>
    <xf numFmtId="166" fontId="32" fillId="15" borderId="10" xfId="0" applyFont="1" applyFill="1" applyBorder="1" applyAlignment="1">
      <alignment horizontal="left"/>
    </xf>
    <xf numFmtId="166" fontId="34" fillId="21" borderId="10" xfId="0" applyFont="1" applyFill="1" applyBorder="1" applyAlignment="1">
      <alignment horizontal="left"/>
    </xf>
    <xf numFmtId="166" fontId="34" fillId="21" borderId="11" xfId="0" applyFont="1" applyFill="1" applyBorder="1" applyAlignment="1">
      <alignment horizontal="left"/>
    </xf>
    <xf numFmtId="166" fontId="34" fillId="17" borderId="12" xfId="0" applyFont="1" applyFill="1" applyBorder="1" applyAlignment="1">
      <alignment horizontal="center"/>
    </xf>
    <xf numFmtId="166" fontId="32" fillId="10" borderId="12" xfId="0" applyFont="1" applyFill="1" applyBorder="1" applyAlignment="1">
      <alignment horizontal="left"/>
    </xf>
    <xf numFmtId="166" fontId="34" fillId="16" borderId="12" xfId="0" applyFont="1" applyFill="1" applyBorder="1" applyAlignment="1">
      <alignment horizontal="center"/>
    </xf>
    <xf numFmtId="166" fontId="32" fillId="13" borderId="12" xfId="0" applyFont="1" applyFill="1" applyBorder="1" applyAlignment="1">
      <alignment horizontal="left"/>
    </xf>
    <xf numFmtId="166" fontId="34" fillId="19" borderId="12" xfId="0" applyFont="1" applyFill="1" applyBorder="1" applyAlignment="1">
      <alignment horizontal="center"/>
    </xf>
    <xf numFmtId="166" fontId="32" fillId="24" borderId="12" xfId="0" applyFont="1" applyFill="1" applyBorder="1" applyAlignment="1">
      <alignment horizontal="left"/>
    </xf>
    <xf numFmtId="166" fontId="34" fillId="20" borderId="12" xfId="0" applyFont="1" applyFill="1" applyBorder="1" applyAlignment="1">
      <alignment horizontal="center"/>
    </xf>
    <xf numFmtId="166" fontId="32" fillId="12" borderId="12" xfId="0" applyFont="1" applyFill="1" applyBorder="1" applyAlignment="1">
      <alignment horizontal="left"/>
    </xf>
    <xf numFmtId="166" fontId="34" fillId="18" borderId="12" xfId="0" applyFont="1" applyFill="1" applyBorder="1" applyAlignment="1">
      <alignment horizontal="center"/>
    </xf>
    <xf numFmtId="166" fontId="32" fillId="15" borderId="12" xfId="0" applyFont="1" applyFill="1" applyBorder="1" applyAlignment="1">
      <alignment horizontal="left"/>
    </xf>
    <xf numFmtId="166" fontId="34" fillId="21" borderId="12" xfId="0" applyFont="1" applyFill="1" applyBorder="1" applyAlignment="1">
      <alignment horizontal="center"/>
    </xf>
    <xf numFmtId="166" fontId="34" fillId="21" borderId="13" xfId="0" applyFont="1" applyFill="1" applyBorder="1" applyAlignment="1">
      <alignment horizontal="center"/>
    </xf>
    <xf numFmtId="166" fontId="32" fillId="11" borderId="14" xfId="0" applyFont="1" applyFill="1" applyBorder="1" applyAlignment="1">
      <alignment horizontal="left"/>
    </xf>
    <xf numFmtId="166" fontId="32" fillId="11" borderId="15" xfId="0" applyFont="1" applyFill="1" applyBorder="1" applyAlignment="1">
      <alignment horizontal="left"/>
    </xf>
    <xf numFmtId="166" fontId="32" fillId="11" borderId="16" xfId="0" applyFont="1" applyFill="1" applyBorder="1" applyAlignment="1">
      <alignment horizontal="left"/>
    </xf>
    <xf numFmtId="166" fontId="33" fillId="9" borderId="26" xfId="0" applyFont="1" applyFill="1" applyBorder="1" applyAlignment="1">
      <alignment horizontal="center"/>
    </xf>
    <xf numFmtId="166" fontId="33" fillId="9" borderId="27" xfId="0" applyFont="1" applyFill="1" applyBorder="1" applyAlignment="1">
      <alignment horizontal="center"/>
    </xf>
    <xf numFmtId="169" fontId="33" fillId="9" borderId="27" xfId="0" applyNumberFormat="1" applyFont="1" applyFill="1" applyBorder="1" applyAlignment="1">
      <alignment horizontal="center"/>
    </xf>
    <xf numFmtId="166" fontId="33" fillId="23" borderId="27" xfId="0" applyFont="1" applyFill="1" applyBorder="1" applyAlignment="1">
      <alignment horizontal="center"/>
    </xf>
    <xf numFmtId="166" fontId="33" fillId="9" borderId="28" xfId="0" applyFont="1" applyFill="1" applyBorder="1" applyAlignment="1">
      <alignment horizontal="center"/>
    </xf>
    <xf numFmtId="0" fontId="40" fillId="25" borderId="0" xfId="11" applyNumberFormat="1" applyFont="1" applyFill="1" applyAlignment="1">
      <alignment horizontal="center" vertical="center"/>
    </xf>
    <xf numFmtId="175" fontId="39" fillId="0" borderId="0" xfId="11"/>
    <xf numFmtId="0" fontId="42" fillId="26" borderId="0" xfId="11" applyNumberFormat="1" applyFont="1" applyFill="1" applyAlignment="1">
      <alignment horizontal="center" vertical="center"/>
    </xf>
    <xf numFmtId="0" fontId="39" fillId="25" borderId="29" xfId="11" applyNumberFormat="1" applyFill="1" applyBorder="1"/>
    <xf numFmtId="0" fontId="45" fillId="25" borderId="29" xfId="11" applyNumberFormat="1" applyFont="1" applyFill="1" applyBorder="1" applyAlignment="1">
      <alignment horizontal="center" vertical="center"/>
    </xf>
    <xf numFmtId="0" fontId="49" fillId="30" borderId="29" xfId="11" applyNumberFormat="1" applyFont="1" applyFill="1" applyBorder="1" applyAlignment="1">
      <alignment horizontal="left" vertical="center" indent="1"/>
    </xf>
    <xf numFmtId="0" fontId="45" fillId="30" borderId="29" xfId="11" applyNumberFormat="1" applyFont="1" applyFill="1" applyBorder="1" applyAlignment="1">
      <alignment horizontal="center" vertical="center"/>
    </xf>
    <xf numFmtId="176" fontId="50" fillId="30" borderId="29" xfId="11" applyNumberFormat="1" applyFont="1" applyFill="1" applyBorder="1" applyAlignment="1">
      <alignment horizontal="center" vertical="center"/>
    </xf>
    <xf numFmtId="0" fontId="39" fillId="0" borderId="0" xfId="11" applyNumberFormat="1"/>
    <xf numFmtId="0" fontId="49" fillId="25" borderId="30" xfId="11" applyNumberFormat="1" applyFont="1" applyFill="1" applyBorder="1" applyAlignment="1">
      <alignment horizontal="left" vertical="center" indent="1"/>
    </xf>
    <xf numFmtId="0" fontId="51" fillId="31" borderId="29" xfId="11" applyNumberFormat="1" applyFont="1" applyFill="1" applyBorder="1" applyAlignment="1">
      <alignment horizontal="left" vertical="center" indent="2"/>
    </xf>
    <xf numFmtId="0" fontId="53" fillId="31" borderId="29" xfId="11" applyNumberFormat="1" applyFont="1" applyFill="1" applyBorder="1" applyAlignment="1">
      <alignment horizontal="center" vertical="center"/>
    </xf>
    <xf numFmtId="3" fontId="54" fillId="31" borderId="29" xfId="11" applyNumberFormat="1" applyFont="1" applyFill="1" applyBorder="1" applyAlignment="1">
      <alignment horizontal="center" vertical="center"/>
    </xf>
    <xf numFmtId="3" fontId="55" fillId="31" borderId="29" xfId="11" applyNumberFormat="1" applyFont="1" applyFill="1" applyBorder="1" applyAlignment="1">
      <alignment horizontal="center" vertical="center"/>
    </xf>
    <xf numFmtId="3" fontId="56" fillId="32" borderId="29" xfId="11" applyNumberFormat="1" applyFont="1" applyFill="1" applyBorder="1" applyAlignment="1">
      <alignment horizontal="center" vertical="center"/>
    </xf>
    <xf numFmtId="177" fontId="57" fillId="32" borderId="29" xfId="11" applyNumberFormat="1" applyFont="1" applyFill="1" applyBorder="1" applyAlignment="1">
      <alignment horizontal="center" vertical="center"/>
    </xf>
    <xf numFmtId="0" fontId="43" fillId="32" borderId="29" xfId="11" applyNumberFormat="1" applyFont="1" applyFill="1" applyBorder="1" applyAlignment="1">
      <alignment horizontal="left" vertical="center" indent="1"/>
    </xf>
    <xf numFmtId="0" fontId="58" fillId="31" borderId="29" xfId="11" applyNumberFormat="1" applyFont="1" applyFill="1" applyBorder="1" applyAlignment="1">
      <alignment horizontal="center" vertical="center"/>
    </xf>
    <xf numFmtId="0" fontId="42" fillId="32" borderId="29" xfId="11" applyNumberFormat="1" applyFont="1" applyFill="1" applyBorder="1" applyAlignment="1">
      <alignment horizontal="left" vertical="center" indent="1"/>
    </xf>
    <xf numFmtId="0" fontId="49" fillId="29" borderId="30" xfId="11" applyNumberFormat="1" applyFont="1" applyFill="1" applyBorder="1" applyAlignment="1">
      <alignment horizontal="left" vertical="center" indent="1"/>
    </xf>
    <xf numFmtId="0" fontId="59" fillId="33" borderId="29" xfId="11" applyNumberFormat="1" applyFont="1" applyFill="1" applyBorder="1" applyAlignment="1">
      <alignment horizontal="left" vertical="center" indent="2"/>
    </xf>
    <xf numFmtId="0" fontId="53" fillId="33" borderId="29" xfId="11" applyNumberFormat="1" applyFont="1" applyFill="1" applyBorder="1" applyAlignment="1">
      <alignment horizontal="center" vertical="center"/>
    </xf>
    <xf numFmtId="3" fontId="54" fillId="33" borderId="29" xfId="11" applyNumberFormat="1" applyFont="1" applyFill="1" applyBorder="1" applyAlignment="1">
      <alignment horizontal="center" vertical="center"/>
    </xf>
    <xf numFmtId="3" fontId="55" fillId="33" borderId="29" xfId="11" applyNumberFormat="1" applyFont="1" applyFill="1" applyBorder="1" applyAlignment="1">
      <alignment horizontal="center" vertical="center"/>
    </xf>
    <xf numFmtId="177" fontId="60" fillId="32" borderId="29" xfId="11" applyNumberFormat="1" applyFont="1" applyFill="1" applyBorder="1" applyAlignment="1">
      <alignment horizontal="center" vertical="center"/>
    </xf>
    <xf numFmtId="0" fontId="55" fillId="33" borderId="29" xfId="11" applyNumberFormat="1" applyFont="1" applyFill="1" applyBorder="1" applyAlignment="1">
      <alignment horizontal="center" vertical="center"/>
    </xf>
    <xf numFmtId="177" fontId="61" fillId="32" borderId="29" xfId="11" applyNumberFormat="1" applyFont="1" applyFill="1" applyBorder="1" applyAlignment="1">
      <alignment horizontal="center" vertical="center"/>
    </xf>
    <xf numFmtId="0" fontId="49" fillId="34" borderId="30" xfId="11" applyNumberFormat="1" applyFont="1" applyFill="1" applyBorder="1" applyAlignment="1">
      <alignment horizontal="left" vertical="center" indent="1"/>
    </xf>
    <xf numFmtId="0" fontId="63" fillId="35" borderId="29" xfId="11" applyNumberFormat="1" applyFont="1" applyFill="1" applyBorder="1" applyAlignment="1">
      <alignment horizontal="left" vertical="center" indent="2"/>
    </xf>
    <xf numFmtId="0" fontId="53" fillId="35" borderId="29" xfId="11" applyNumberFormat="1" applyFont="1" applyFill="1" applyBorder="1" applyAlignment="1">
      <alignment horizontal="center" vertical="center"/>
    </xf>
    <xf numFmtId="3" fontId="54" fillId="35" borderId="29" xfId="11" applyNumberFormat="1" applyFont="1" applyFill="1" applyBorder="1" applyAlignment="1">
      <alignment horizontal="center" vertical="center"/>
    </xf>
    <xf numFmtId="3" fontId="55" fillId="35" borderId="29" xfId="11" applyNumberFormat="1" applyFont="1" applyFill="1" applyBorder="1" applyAlignment="1">
      <alignment horizontal="center" vertical="center"/>
    </xf>
    <xf numFmtId="0" fontId="55" fillId="35" borderId="29" xfId="11" applyNumberFormat="1" applyFont="1" applyFill="1" applyBorder="1" applyAlignment="1">
      <alignment horizontal="center" vertical="center"/>
    </xf>
    <xf numFmtId="0" fontId="49" fillId="36" borderId="30" xfId="11" applyNumberFormat="1" applyFont="1" applyFill="1" applyBorder="1" applyAlignment="1">
      <alignment horizontal="left" vertical="center" indent="1"/>
    </xf>
    <xf numFmtId="0" fontId="64" fillId="37" borderId="29" xfId="11" applyNumberFormat="1" applyFont="1" applyFill="1" applyBorder="1" applyAlignment="1">
      <alignment horizontal="left" vertical="center" indent="2"/>
    </xf>
    <xf numFmtId="0" fontId="53" fillId="37" borderId="29" xfId="11" applyNumberFormat="1" applyFont="1" applyFill="1" applyBorder="1" applyAlignment="1">
      <alignment horizontal="center" vertical="center"/>
    </xf>
    <xf numFmtId="3" fontId="54" fillId="37" borderId="29" xfId="11" applyNumberFormat="1" applyFont="1" applyFill="1" applyBorder="1" applyAlignment="1">
      <alignment horizontal="center" vertical="center"/>
    </xf>
    <xf numFmtId="3" fontId="55" fillId="37" borderId="29" xfId="11" applyNumberFormat="1" applyFont="1" applyFill="1" applyBorder="1" applyAlignment="1">
      <alignment horizontal="center" vertical="center"/>
    </xf>
    <xf numFmtId="0" fontId="55" fillId="37" borderId="29" xfId="11" applyNumberFormat="1" applyFont="1" applyFill="1" applyBorder="1" applyAlignment="1">
      <alignment horizontal="center" vertical="center"/>
    </xf>
    <xf numFmtId="0" fontId="39" fillId="32" borderId="29" xfId="11" applyNumberFormat="1" applyFill="1" applyBorder="1" applyAlignment="1">
      <alignment horizontal="center" vertical="center"/>
    </xf>
    <xf numFmtId="0" fontId="49" fillId="27" borderId="30" xfId="11" applyNumberFormat="1" applyFont="1" applyFill="1" applyBorder="1" applyAlignment="1">
      <alignment horizontal="left" vertical="center" indent="1"/>
    </xf>
    <xf numFmtId="0" fontId="66" fillId="38" borderId="29" xfId="11" applyNumberFormat="1" applyFont="1" applyFill="1" applyBorder="1" applyAlignment="1">
      <alignment horizontal="left" vertical="center" indent="2"/>
    </xf>
    <xf numFmtId="0" fontId="53" fillId="38" borderId="29" xfId="11" applyNumberFormat="1" applyFont="1" applyFill="1" applyBorder="1" applyAlignment="1">
      <alignment horizontal="center" vertical="center"/>
    </xf>
    <xf numFmtId="3" fontId="54" fillId="38" borderId="29" xfId="11" applyNumberFormat="1" applyFont="1" applyFill="1" applyBorder="1" applyAlignment="1">
      <alignment horizontal="center" vertical="center"/>
    </xf>
    <xf numFmtId="3" fontId="55" fillId="38" borderId="29" xfId="11" applyNumberFormat="1" applyFont="1" applyFill="1" applyBorder="1" applyAlignment="1">
      <alignment horizontal="center" vertical="center"/>
    </xf>
    <xf numFmtId="0" fontId="49" fillId="30" borderId="30" xfId="11" applyNumberFormat="1" applyFont="1" applyFill="1" applyBorder="1" applyAlignment="1">
      <alignment horizontal="left" vertical="center" indent="1"/>
    </xf>
    <xf numFmtId="0" fontId="43" fillId="39" borderId="29" xfId="11" applyNumberFormat="1" applyFont="1" applyFill="1" applyBorder="1" applyAlignment="1">
      <alignment horizontal="left" vertical="center" indent="2"/>
    </xf>
    <xf numFmtId="0" fontId="53" fillId="39" borderId="29" xfId="11" applyNumberFormat="1" applyFont="1" applyFill="1" applyBorder="1" applyAlignment="1">
      <alignment horizontal="center" vertical="center"/>
    </xf>
    <xf numFmtId="3" fontId="54" fillId="39" borderId="29" xfId="11" applyNumberFormat="1" applyFont="1" applyFill="1" applyBorder="1" applyAlignment="1">
      <alignment horizontal="center" vertical="center"/>
    </xf>
    <xf numFmtId="0" fontId="54" fillId="39" borderId="29" xfId="11" applyNumberFormat="1" applyFont="1" applyFill="1" applyBorder="1" applyAlignment="1">
      <alignment horizontal="center" vertical="center"/>
    </xf>
    <xf numFmtId="0" fontId="55" fillId="39" borderId="29" xfId="11" applyNumberFormat="1" applyFont="1" applyFill="1" applyBorder="1" applyAlignment="1">
      <alignment horizontal="center" vertical="center"/>
    </xf>
    <xf numFmtId="0" fontId="56" fillId="32" borderId="29" xfId="11" applyNumberFormat="1" applyFont="1" applyFill="1" applyBorder="1" applyAlignment="1">
      <alignment horizontal="center" vertical="center"/>
    </xf>
    <xf numFmtId="0" fontId="46" fillId="36" borderId="0" xfId="11" applyNumberFormat="1" applyFont="1" applyFill="1" applyAlignment="1">
      <alignment horizontal="left" vertical="center" indent="1"/>
    </xf>
    <xf numFmtId="0" fontId="45" fillId="36" borderId="29" xfId="11" applyNumberFormat="1" applyFont="1" applyFill="1" applyBorder="1" applyAlignment="1">
      <alignment horizontal="center" vertical="center"/>
    </xf>
    <xf numFmtId="0" fontId="48" fillId="36" borderId="29" xfId="11" applyNumberFormat="1" applyFont="1" applyFill="1" applyBorder="1" applyAlignment="1">
      <alignment horizontal="center" vertical="center" wrapText="1"/>
    </xf>
    <xf numFmtId="0" fontId="39" fillId="36" borderId="29" xfId="11" applyNumberFormat="1" applyFill="1" applyBorder="1"/>
    <xf numFmtId="0" fontId="68" fillId="31" borderId="29" xfId="11" applyNumberFormat="1" applyFont="1" applyFill="1" applyBorder="1" applyAlignment="1">
      <alignment horizontal="left" vertical="center" indent="1"/>
    </xf>
    <xf numFmtId="0" fontId="42" fillId="31" borderId="29" xfId="11" applyNumberFormat="1" applyFont="1" applyFill="1" applyBorder="1" applyAlignment="1">
      <alignment horizontal="center" vertical="center"/>
    </xf>
    <xf numFmtId="177" fontId="69" fillId="31" borderId="29" xfId="11" applyNumberFormat="1" applyFont="1" applyFill="1" applyBorder="1" applyAlignment="1">
      <alignment horizontal="center" vertical="center"/>
    </xf>
    <xf numFmtId="177" fontId="70" fillId="31" borderId="29" xfId="11" applyNumberFormat="1" applyFont="1" applyFill="1" applyBorder="1" applyAlignment="1">
      <alignment horizontal="center" vertical="center"/>
    </xf>
    <xf numFmtId="177" fontId="71" fillId="31" borderId="29" xfId="11" applyNumberFormat="1" applyFont="1" applyFill="1" applyBorder="1" applyAlignment="1">
      <alignment horizontal="center" vertical="center"/>
    </xf>
    <xf numFmtId="0" fontId="39" fillId="31" borderId="29" xfId="11" applyNumberFormat="1" applyFill="1" applyBorder="1"/>
    <xf numFmtId="0" fontId="72" fillId="33" borderId="29" xfId="11" applyNumberFormat="1" applyFont="1" applyFill="1" applyBorder="1" applyAlignment="1">
      <alignment horizontal="left" vertical="center" indent="1"/>
    </xf>
    <xf numFmtId="0" fontId="42" fillId="33" borderId="29" xfId="11" applyNumberFormat="1" applyFont="1" applyFill="1" applyBorder="1" applyAlignment="1">
      <alignment horizontal="center" vertical="center"/>
    </xf>
    <xf numFmtId="177" fontId="69" fillId="33" borderId="29" xfId="11" applyNumberFormat="1" applyFont="1" applyFill="1" applyBorder="1" applyAlignment="1">
      <alignment horizontal="center" vertical="center"/>
    </xf>
    <xf numFmtId="177" fontId="70" fillId="33" borderId="29" xfId="11" applyNumberFormat="1" applyFont="1" applyFill="1" applyBorder="1" applyAlignment="1">
      <alignment horizontal="center" vertical="center"/>
    </xf>
    <xf numFmtId="177" fontId="71" fillId="33" borderId="29" xfId="11" applyNumberFormat="1" applyFont="1" applyFill="1" applyBorder="1" applyAlignment="1">
      <alignment horizontal="center" vertical="center"/>
    </xf>
    <xf numFmtId="0" fontId="39" fillId="33" borderId="29" xfId="11" applyNumberFormat="1" applyFill="1" applyBorder="1"/>
    <xf numFmtId="0" fontId="73" fillId="33" borderId="29" xfId="11" applyNumberFormat="1" applyFont="1" applyFill="1" applyBorder="1" applyAlignment="1">
      <alignment horizontal="left" vertical="center" indent="1"/>
    </xf>
    <xf numFmtId="0" fontId="69" fillId="35" borderId="29" xfId="11" applyNumberFormat="1" applyFont="1" applyFill="1" applyBorder="1" applyAlignment="1">
      <alignment horizontal="left" vertical="center" indent="1"/>
    </xf>
    <xf numFmtId="0" fontId="42" fillId="35" borderId="29" xfId="11" applyNumberFormat="1" applyFont="1" applyFill="1" applyBorder="1" applyAlignment="1">
      <alignment horizontal="center" vertical="center"/>
    </xf>
    <xf numFmtId="177" fontId="69" fillId="35" borderId="29" xfId="11" applyNumberFormat="1" applyFont="1" applyFill="1" applyBorder="1" applyAlignment="1">
      <alignment horizontal="center" vertical="center"/>
    </xf>
    <xf numFmtId="177" fontId="71" fillId="35" borderId="29" xfId="11" applyNumberFormat="1" applyFont="1" applyFill="1" applyBorder="1" applyAlignment="1">
      <alignment horizontal="center" vertical="center"/>
    </xf>
    <xf numFmtId="177" fontId="70" fillId="35" borderId="29" xfId="11" applyNumberFormat="1" applyFont="1" applyFill="1" applyBorder="1" applyAlignment="1">
      <alignment horizontal="center" vertical="center"/>
    </xf>
    <xf numFmtId="0" fontId="39" fillId="35" borderId="29" xfId="11" applyNumberFormat="1" applyFill="1" applyBorder="1"/>
    <xf numFmtId="0" fontId="74" fillId="37" borderId="29" xfId="11" applyNumberFormat="1" applyFont="1" applyFill="1" applyBorder="1" applyAlignment="1">
      <alignment horizontal="left" vertical="center" indent="1"/>
    </xf>
    <xf numFmtId="0" fontId="42" fillId="37" borderId="29" xfId="11" applyNumberFormat="1" applyFont="1" applyFill="1" applyBorder="1" applyAlignment="1">
      <alignment horizontal="center" vertical="center"/>
    </xf>
    <xf numFmtId="177" fontId="71" fillId="37" borderId="29" xfId="11" applyNumberFormat="1" applyFont="1" applyFill="1" applyBorder="1" applyAlignment="1">
      <alignment horizontal="center" vertical="center"/>
    </xf>
    <xf numFmtId="177" fontId="69" fillId="37" borderId="29" xfId="11" applyNumberFormat="1" applyFont="1" applyFill="1" applyBorder="1" applyAlignment="1">
      <alignment horizontal="center" vertical="center"/>
    </xf>
    <xf numFmtId="177" fontId="70" fillId="37" borderId="29" xfId="11" applyNumberFormat="1" applyFont="1" applyFill="1" applyBorder="1" applyAlignment="1">
      <alignment horizontal="center" vertical="center"/>
    </xf>
    <xf numFmtId="0" fontId="39" fillId="37" borderId="29" xfId="11" applyNumberFormat="1" applyFill="1" applyBorder="1"/>
    <xf numFmtId="0" fontId="71" fillId="38" borderId="29" xfId="11" applyNumberFormat="1" applyFont="1" applyFill="1" applyBorder="1" applyAlignment="1">
      <alignment horizontal="left" vertical="center" indent="1"/>
    </xf>
    <xf numFmtId="0" fontId="42" fillId="38" borderId="29" xfId="11" applyNumberFormat="1" applyFont="1" applyFill="1" applyBorder="1" applyAlignment="1">
      <alignment horizontal="center" vertical="center"/>
    </xf>
    <xf numFmtId="177" fontId="69" fillId="38" borderId="29" xfId="11" applyNumberFormat="1" applyFont="1" applyFill="1" applyBorder="1" applyAlignment="1">
      <alignment horizontal="center" vertical="center"/>
    </xf>
    <xf numFmtId="177" fontId="71" fillId="38" borderId="29" xfId="11" applyNumberFormat="1" applyFont="1" applyFill="1" applyBorder="1" applyAlignment="1">
      <alignment horizontal="center" vertical="center"/>
    </xf>
    <xf numFmtId="177" fontId="70" fillId="38" borderId="29" xfId="11" applyNumberFormat="1" applyFont="1" applyFill="1" applyBorder="1" applyAlignment="1">
      <alignment horizontal="center" vertical="center"/>
    </xf>
    <xf numFmtId="0" fontId="39" fillId="38" borderId="29" xfId="11" applyNumberFormat="1" applyFill="1" applyBorder="1"/>
    <xf numFmtId="0" fontId="75" fillId="38" borderId="29" xfId="11" applyNumberFormat="1" applyFont="1" applyFill="1" applyBorder="1" applyAlignment="1">
      <alignment horizontal="left" vertical="center" indent="1"/>
    </xf>
    <xf numFmtId="0" fontId="46" fillId="28" borderId="0" xfId="11" applyNumberFormat="1" applyFont="1" applyFill="1" applyAlignment="1">
      <alignment horizontal="left" vertical="center" indent="1"/>
    </xf>
    <xf numFmtId="0" fontId="56" fillId="32" borderId="30" xfId="11" applyNumberFormat="1" applyFont="1" applyFill="1" applyBorder="1" applyAlignment="1">
      <alignment horizontal="left" vertical="center" indent="2"/>
    </xf>
    <xf numFmtId="0" fontId="78" fillId="40" borderId="30" xfId="11" applyNumberFormat="1" applyFont="1" applyFill="1" applyBorder="1" applyAlignment="1">
      <alignment horizontal="left" vertical="center" wrapText="1" indent="2"/>
    </xf>
    <xf numFmtId="0" fontId="79" fillId="40" borderId="30" xfId="11" applyNumberFormat="1" applyFont="1" applyFill="1" applyBorder="1" applyAlignment="1">
      <alignment horizontal="left" vertical="center" wrapText="1" indent="2"/>
    </xf>
    <xf numFmtId="0" fontId="77" fillId="32" borderId="30" xfId="11" applyNumberFormat="1" applyFont="1" applyFill="1" applyBorder="1" applyAlignment="1">
      <alignment horizontal="left" vertical="center" indent="2"/>
    </xf>
    <xf numFmtId="0" fontId="46" fillId="41" borderId="0" xfId="11" applyNumberFormat="1" applyFont="1" applyFill="1" applyAlignment="1">
      <alignment horizontal="left" vertical="center" indent="1"/>
    </xf>
    <xf numFmtId="0" fontId="45" fillId="41" borderId="29" xfId="11" applyNumberFormat="1" applyFont="1" applyFill="1" applyBorder="1" applyAlignment="1">
      <alignment horizontal="center" vertical="center" wrapText="1"/>
    </xf>
    <xf numFmtId="0" fontId="80" fillId="33" borderId="29" xfId="11" applyNumberFormat="1" applyFont="1" applyFill="1" applyBorder="1" applyAlignment="1">
      <alignment horizontal="center" vertical="center" indent="1"/>
    </xf>
    <xf numFmtId="0" fontId="81" fillId="33" borderId="29" xfId="11" applyNumberFormat="1" applyFont="1" applyFill="1" applyBorder="1" applyAlignment="1">
      <alignment horizontal="left" vertical="center" indent="1"/>
    </xf>
    <xf numFmtId="0" fontId="80" fillId="35" borderId="29" xfId="11" applyNumberFormat="1" applyFont="1" applyFill="1" applyBorder="1" applyAlignment="1">
      <alignment horizontal="center" vertical="center" indent="1"/>
    </xf>
    <xf numFmtId="0" fontId="81" fillId="35" borderId="29" xfId="11" applyNumberFormat="1" applyFont="1" applyFill="1" applyBorder="1" applyAlignment="1">
      <alignment horizontal="left" vertical="center" indent="1"/>
    </xf>
    <xf numFmtId="0" fontId="80" fillId="37" borderId="29" xfId="11" applyNumberFormat="1" applyFont="1" applyFill="1" applyBorder="1" applyAlignment="1">
      <alignment horizontal="center" vertical="center" indent="1"/>
    </xf>
    <xf numFmtId="0" fontId="81" fillId="37" borderId="29" xfId="11" applyNumberFormat="1" applyFont="1" applyFill="1" applyBorder="1" applyAlignment="1">
      <alignment horizontal="left" vertical="center" indent="1"/>
    </xf>
    <xf numFmtId="0" fontId="80" fillId="37" borderId="29" xfId="11" applyNumberFormat="1" applyFont="1" applyFill="1" applyBorder="1" applyAlignment="1">
      <alignment horizontal="left" vertical="center" indent="1"/>
    </xf>
    <xf numFmtId="0" fontId="80" fillId="38" borderId="29" xfId="11" applyNumberFormat="1" applyFont="1" applyFill="1" applyBorder="1" applyAlignment="1">
      <alignment horizontal="center" vertical="center" indent="1"/>
    </xf>
    <xf numFmtId="0" fontId="81" fillId="38" borderId="29" xfId="11" applyNumberFormat="1" applyFont="1" applyFill="1" applyBorder="1" applyAlignment="1">
      <alignment horizontal="left" vertical="center" indent="1"/>
    </xf>
    <xf numFmtId="0" fontId="86" fillId="0" borderId="0" xfId="11" applyNumberFormat="1" applyFont="1"/>
    <xf numFmtId="0" fontId="87" fillId="0" borderId="0" xfId="11" applyNumberFormat="1" applyFont="1"/>
    <xf numFmtId="0" fontId="88" fillId="0" borderId="0" xfId="11" applyNumberFormat="1" applyFont="1"/>
    <xf numFmtId="3" fontId="39" fillId="0" borderId="0" xfId="11" applyNumberFormat="1"/>
    <xf numFmtId="3" fontId="44" fillId="41" borderId="29" xfId="11" applyNumberFormat="1" applyFont="1" applyFill="1" applyBorder="1" applyAlignment="1">
      <alignment horizontal="center" vertical="center" wrapText="1"/>
    </xf>
    <xf numFmtId="3" fontId="45" fillId="41" borderId="29" xfId="11" applyNumberFormat="1" applyFont="1" applyFill="1" applyBorder="1" applyAlignment="1">
      <alignment horizontal="center" vertical="center" wrapText="1"/>
    </xf>
    <xf numFmtId="3" fontId="80" fillId="31" borderId="29" xfId="11" applyNumberFormat="1" applyFont="1" applyFill="1" applyBorder="1" applyAlignment="1">
      <alignment horizontal="center" vertical="center" indent="1"/>
    </xf>
    <xf numFmtId="3" fontId="81" fillId="31" borderId="29" xfId="11" applyNumberFormat="1" applyFont="1" applyFill="1" applyBorder="1" applyAlignment="1">
      <alignment horizontal="left" vertical="center" indent="1"/>
    </xf>
    <xf numFmtId="0" fontId="89" fillId="40" borderId="30" xfId="11" applyNumberFormat="1" applyFont="1" applyFill="1" applyBorder="1" applyAlignment="1">
      <alignment horizontal="left" vertical="center" wrapText="1" indent="2"/>
    </xf>
    <xf numFmtId="0" fontId="90" fillId="0" borderId="0" xfId="11" applyNumberFormat="1" applyFont="1"/>
    <xf numFmtId="3" fontId="78" fillId="40" borderId="30" xfId="11" applyNumberFormat="1" applyFont="1" applyFill="1" applyBorder="1" applyAlignment="1">
      <alignment horizontal="left" vertical="center" wrapText="1" indent="2"/>
    </xf>
    <xf numFmtId="3" fontId="46" fillId="41" borderId="0" xfId="11" applyNumberFormat="1" applyFont="1" applyFill="1" applyAlignment="1">
      <alignment horizontal="left" vertical="center" indent="1"/>
    </xf>
    <xf numFmtId="169" fontId="77" fillId="32" borderId="30" xfId="11" applyNumberFormat="1" applyFont="1" applyFill="1" applyBorder="1" applyAlignment="1">
      <alignment horizontal="left" vertical="center" indent="2"/>
    </xf>
    <xf numFmtId="0" fontId="91" fillId="32" borderId="30" xfId="11" applyNumberFormat="1" applyFont="1" applyFill="1" applyBorder="1" applyAlignment="1">
      <alignment horizontal="left" vertical="center" indent="2"/>
    </xf>
    <xf numFmtId="0" fontId="44" fillId="42" borderId="30" xfId="11" applyNumberFormat="1" applyFont="1" applyFill="1" applyBorder="1" applyAlignment="1">
      <alignment horizontal="center" vertical="center"/>
    </xf>
    <xf numFmtId="0" fontId="44" fillId="42" borderId="31" xfId="11" applyNumberFormat="1" applyFont="1" applyFill="1" applyBorder="1" applyAlignment="1">
      <alignment horizontal="center" vertical="center"/>
    </xf>
    <xf numFmtId="0" fontId="44" fillId="42" borderId="32" xfId="11" applyNumberFormat="1" applyFont="1" applyFill="1" applyBorder="1" applyAlignment="1">
      <alignment horizontal="center" vertical="center"/>
    </xf>
    <xf numFmtId="0" fontId="44" fillId="43" borderId="30" xfId="11" applyNumberFormat="1" applyFont="1" applyFill="1" applyBorder="1" applyAlignment="1">
      <alignment horizontal="center" vertical="center"/>
    </xf>
    <xf numFmtId="0" fontId="44" fillId="43" borderId="31" xfId="11" applyNumberFormat="1" applyFont="1" applyFill="1" applyBorder="1" applyAlignment="1">
      <alignment horizontal="center" vertical="center"/>
    </xf>
    <xf numFmtId="0" fontId="44" fillId="43" borderId="32" xfId="11" applyNumberFormat="1" applyFont="1" applyFill="1" applyBorder="1" applyAlignment="1">
      <alignment horizontal="center" vertical="center"/>
    </xf>
    <xf numFmtId="0" fontId="48" fillId="44" borderId="29" xfId="11" applyNumberFormat="1" applyFont="1" applyFill="1" applyBorder="1" applyAlignment="1">
      <alignment horizontal="center" vertical="center" wrapText="1"/>
    </xf>
    <xf numFmtId="0" fontId="48" fillId="45" borderId="29" xfId="11" applyNumberFormat="1" applyFont="1" applyFill="1" applyBorder="1" applyAlignment="1">
      <alignment horizontal="center" vertical="center" wrapText="1"/>
    </xf>
    <xf numFmtId="0" fontId="39" fillId="46" borderId="29" xfId="11" applyNumberFormat="1" applyFill="1" applyBorder="1"/>
    <xf numFmtId="0" fontId="45" fillId="47" borderId="29" xfId="11" applyNumberFormat="1" applyFont="1" applyFill="1" applyBorder="1" applyAlignment="1">
      <alignment horizontal="center" vertical="center" wrapText="1"/>
    </xf>
    <xf numFmtId="0" fontId="48" fillId="47" borderId="29" xfId="11" applyNumberFormat="1" applyFont="1" applyFill="1" applyBorder="1" applyAlignment="1">
      <alignment horizontal="center" vertical="center" wrapText="1"/>
    </xf>
    <xf numFmtId="0" fontId="45" fillId="47" borderId="29" xfId="11" applyNumberFormat="1" applyFont="1" applyFill="1" applyBorder="1" applyAlignment="1">
      <alignment horizontal="center" vertical="center"/>
    </xf>
    <xf numFmtId="0" fontId="92" fillId="48" borderId="29" xfId="11" applyNumberFormat="1" applyFont="1" applyFill="1" applyBorder="1"/>
    <xf numFmtId="0" fontId="95" fillId="49" borderId="31" xfId="11" applyNumberFormat="1" applyFont="1" applyFill="1" applyBorder="1" applyAlignment="1">
      <alignment horizontal="left" vertical="center" indent="1"/>
    </xf>
    <xf numFmtId="0" fontId="50" fillId="49" borderId="30" xfId="11" applyNumberFormat="1" applyFont="1" applyFill="1" applyBorder="1" applyAlignment="1">
      <alignment horizontal="left" vertical="center" wrapText="1" indent="2"/>
    </xf>
    <xf numFmtId="3" fontId="50" fillId="49" borderId="30" xfId="11" applyNumberFormat="1" applyFont="1" applyFill="1" applyBorder="1" applyAlignment="1">
      <alignment horizontal="left" vertical="center" wrapText="1" indent="2"/>
    </xf>
  </cellXfs>
  <cellStyles count="12">
    <cellStyle name="Normal" xfId="0" builtinId="0"/>
    <cellStyle name="Normal 2" xfId="11" xr:uid="{025D3AA0-1603-4041-AADC-BCF44FB36A9A}"/>
    <cellStyle name="Normal 3" xfId="1" xr:uid="{00000000-0005-0000-0000-000031000000}"/>
    <cellStyle name="Normal 3 2" xfId="2" xr:uid="{00000000-0005-0000-0000-000032000000}"/>
    <cellStyle name="Normal 3 2 2" xfId="6" xr:uid="{377FB09C-6A3F-4235-A302-E8CFF75BC541}"/>
    <cellStyle name="Normal 3 3" xfId="5" xr:uid="{82F98971-B28D-4ACE-B351-C298B797F8B6}"/>
    <cellStyle name="千位分隔 2" xfId="3" xr:uid="{23640F32-F64C-40E0-BD18-BDB7DD1582E5}"/>
    <cellStyle name="常规 2" xfId="4" xr:uid="{67A8DC01-297C-48B9-B5C5-060DA47B2036}"/>
    <cellStyle name="常规 2 2" xfId="7" xr:uid="{C16A138C-B273-41E3-BA25-CC5D2581F552}"/>
    <cellStyle name="常规 3" xfId="8" xr:uid="{AE0391C9-F6C9-40D8-AA54-02DB3E106BD7}"/>
    <cellStyle name="常规 3 2" xfId="10" xr:uid="{62ECACDA-8995-48F8-93F2-AF4CD6B2153B}"/>
    <cellStyle name="常规 4" xfId="9" xr:uid="{7A7587E9-2380-454A-BD0A-23411591E5C0}"/>
  </cellStyles>
  <dxfs count="0"/>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altLang="en-US" sz="1400" b="0" i="0" u="none" strike="noStrike" kern="1200" spc="0" baseline="0">
                <a:solidFill>
                  <a:schemeClr val="tx1">
                    <a:lumMod val="65000"/>
                    <a:lumOff val="35000"/>
                  </a:schemeClr>
                </a:solidFill>
                <a:latin typeface="+mn-lt"/>
                <a:ea typeface="+mn-ea"/>
                <a:cs typeface="+mn-cs"/>
              </a:defRPr>
            </a:pPr>
            <a:r>
              <a:rPr lang="zh-CN"/>
              <a:t>海运费 </a:t>
            </a:r>
            <a:r>
              <a:rPr lang="en-US"/>
              <a:t>vs Brent </a:t>
            </a:r>
            <a:r>
              <a:rPr lang="zh-CN"/>
              <a:t>原油月度走势 </a:t>
            </a:r>
            <a:r>
              <a:rPr lang="en-US"/>
              <a:t>(</a:t>
            </a:r>
            <a:r>
              <a:rPr lang="zh-CN"/>
              <a:t>代表航线</a:t>
            </a:r>
            <a:r>
              <a:rPr lang="en-US"/>
              <a:t>)</a:t>
            </a:r>
          </a:p>
        </c:rich>
      </c:tx>
      <c:overlay val="0"/>
      <c:spPr>
        <a:noFill/>
        <a:ln>
          <a:noFill/>
        </a:ln>
        <a:effectLst/>
      </c:spPr>
      <c:txPr>
        <a:bodyPr rot="0" spcFirstLastPara="1" vertOverflow="ellipsis" vert="horz" wrap="square" anchor="ctr" anchorCtr="1"/>
        <a:lstStyle/>
        <a:p>
          <a:pPr>
            <a:defRPr alt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环比分析!$A$61</c:f>
              <c:strCache>
                <c:ptCount val="1"/>
                <c:pt idx="0">
                  <c:v>Brent ($/bbl)</c:v>
                </c:pt>
              </c:strCache>
            </c:strRef>
          </c:tx>
          <c:spPr>
            <a:ln w="28575" cap="rnd">
              <a:solidFill>
                <a:schemeClr val="accent2"/>
              </a:solidFill>
              <a:round/>
            </a:ln>
            <a:effectLst/>
          </c:spPr>
          <c:marker>
            <c:symbol val="none"/>
          </c:marker>
          <c:val>
            <c:numRef>
              <c:f>环比分析!$B$61:$M$61</c:f>
              <c:numCache>
                <c:formatCode>0.0</c:formatCode>
                <c:ptCount val="12"/>
              </c:numCache>
            </c:numRef>
          </c:val>
          <c:smooth val="0"/>
          <c:extLst>
            <c:ext xmlns:c16="http://schemas.microsoft.com/office/drawing/2014/chart" uri="{C3380CC4-5D6E-409C-BE32-E72D297353CC}">
              <c16:uniqueId val="{00000001-88C1-4042-A818-15658769CACF}"/>
            </c:ext>
          </c:extLst>
        </c:ser>
        <c:ser>
          <c:idx val="2"/>
          <c:order val="2"/>
          <c:tx>
            <c:strRef>
              <c:f>环比分析!$A$62</c:f>
              <c:strCache>
                <c:ptCount val="1"/>
                <c:pt idx="0">
                  <c:v>土耳其 SHA→Izmit</c:v>
                </c:pt>
              </c:strCache>
            </c:strRef>
          </c:tx>
          <c:spPr>
            <a:ln w="28575" cap="rnd">
              <a:solidFill>
                <a:schemeClr val="accent3"/>
              </a:solidFill>
              <a:round/>
            </a:ln>
            <a:effectLst/>
          </c:spPr>
          <c:marker>
            <c:symbol val="none"/>
          </c:marker>
          <c:val>
            <c:numRef>
              <c:f>环比分析!$B$62:$M$62</c:f>
              <c:numCache>
                <c:formatCode>#,##0</c:formatCode>
                <c:ptCount val="12"/>
              </c:numCache>
            </c:numRef>
          </c:val>
          <c:smooth val="0"/>
          <c:extLst>
            <c:ext xmlns:c16="http://schemas.microsoft.com/office/drawing/2014/chart" uri="{C3380CC4-5D6E-409C-BE32-E72D297353CC}">
              <c16:uniqueId val="{00000002-88C1-4042-A818-15658769CACF}"/>
            </c:ext>
          </c:extLst>
        </c:ser>
        <c:ser>
          <c:idx val="3"/>
          <c:order val="3"/>
          <c:tx>
            <c:strRef>
              <c:f>环比分析!$A$63</c:f>
              <c:strCache>
                <c:ptCount val="1"/>
                <c:pt idx="0">
                  <c:v>美东 SHA→Houston</c:v>
                </c:pt>
              </c:strCache>
            </c:strRef>
          </c:tx>
          <c:spPr>
            <a:ln w="28575" cap="rnd">
              <a:solidFill>
                <a:schemeClr val="accent4"/>
              </a:solidFill>
              <a:round/>
            </a:ln>
            <a:effectLst/>
          </c:spPr>
          <c:marker>
            <c:symbol val="none"/>
          </c:marker>
          <c:val>
            <c:numRef>
              <c:f>环比分析!$B$63:$M$63</c:f>
              <c:numCache>
                <c:formatCode>#,##0</c:formatCode>
                <c:ptCount val="12"/>
                <c:pt idx="0">
                  <c:v>4600</c:v>
                </c:pt>
                <c:pt idx="1">
                  <c:v>3485</c:v>
                </c:pt>
                <c:pt idx="2">
                  <c:v>2886</c:v>
                </c:pt>
                <c:pt idx="3">
                  <c:v>2600</c:v>
                </c:pt>
                <c:pt idx="4">
                  <c:v>2600</c:v>
                </c:pt>
                <c:pt idx="5">
                  <c:v>2390</c:v>
                </c:pt>
                <c:pt idx="6">
                  <c:v>2450</c:v>
                </c:pt>
                <c:pt idx="7">
                  <c:v>2350</c:v>
                </c:pt>
                <c:pt idx="8">
                  <c:v>3590</c:v>
                </c:pt>
                <c:pt idx="9">
                  <c:v>3450</c:v>
                </c:pt>
                <c:pt idx="10">
                  <c:v>3249</c:v>
                </c:pt>
                <c:pt idx="11">
                  <c:v>4800</c:v>
                </c:pt>
              </c:numCache>
            </c:numRef>
          </c:val>
          <c:smooth val="0"/>
          <c:extLst>
            <c:ext xmlns:c16="http://schemas.microsoft.com/office/drawing/2014/chart" uri="{C3380CC4-5D6E-409C-BE32-E72D297353CC}">
              <c16:uniqueId val="{00000003-88C1-4042-A818-15658769CACF}"/>
            </c:ext>
          </c:extLst>
        </c:ser>
        <c:ser>
          <c:idx val="4"/>
          <c:order val="4"/>
          <c:tx>
            <c:strRef>
              <c:f>环比分析!$A$64</c:f>
              <c:strCache>
                <c:ptCount val="1"/>
                <c:pt idx="0">
                  <c:v>欧洲 SHA→Hamburg</c:v>
                </c:pt>
              </c:strCache>
            </c:strRef>
          </c:tx>
          <c:spPr>
            <a:ln w="28575" cap="rnd">
              <a:solidFill>
                <a:schemeClr val="accent5"/>
              </a:solidFill>
              <a:round/>
            </a:ln>
            <a:effectLst/>
          </c:spPr>
          <c:marker>
            <c:symbol val="none"/>
          </c:marker>
          <c:val>
            <c:numRef>
              <c:f>环比分析!$B$64:$M$64</c:f>
              <c:numCache>
                <c:formatCode>#,##0</c:formatCode>
                <c:ptCount val="12"/>
              </c:numCache>
            </c:numRef>
          </c:val>
          <c:smooth val="0"/>
          <c:extLst>
            <c:ext xmlns:c16="http://schemas.microsoft.com/office/drawing/2014/chart" uri="{C3380CC4-5D6E-409C-BE32-E72D297353CC}">
              <c16:uniqueId val="{00000004-88C1-4042-A818-15658769CACF}"/>
            </c:ext>
          </c:extLst>
        </c:ser>
        <c:ser>
          <c:idx val="5"/>
          <c:order val="5"/>
          <c:tx>
            <c:strRef>
              <c:f>环比分析!$A$65</c:f>
              <c:strCache>
                <c:ptCount val="1"/>
                <c:pt idx="0">
                  <c:v>墨西哥 LCB→Manz</c:v>
                </c:pt>
              </c:strCache>
            </c:strRef>
          </c:tx>
          <c:spPr>
            <a:ln w="28575" cap="rnd">
              <a:solidFill>
                <a:schemeClr val="accent6"/>
              </a:solidFill>
              <a:round/>
            </a:ln>
            <a:effectLst/>
          </c:spPr>
          <c:marker>
            <c:symbol val="none"/>
          </c:marker>
          <c:val>
            <c:numRef>
              <c:f>环比分析!$B$65:$M$65</c:f>
              <c:numCache>
                <c:formatCode>#,##0</c:formatCode>
                <c:ptCount val="12"/>
                <c:pt idx="0">
                  <c:v>3500</c:v>
                </c:pt>
                <c:pt idx="1">
                  <c:v>3050</c:v>
                </c:pt>
                <c:pt idx="2">
                  <c:v>2550</c:v>
                </c:pt>
                <c:pt idx="3">
                  <c:v>2350</c:v>
                </c:pt>
                <c:pt idx="4">
                  <c:v>2048</c:v>
                </c:pt>
                <c:pt idx="5">
                  <c:v>1940</c:v>
                </c:pt>
                <c:pt idx="6">
                  <c:v>1200</c:v>
                </c:pt>
                <c:pt idx="7">
                  <c:v>2120</c:v>
                </c:pt>
                <c:pt idx="8">
                  <c:v>2590</c:v>
                </c:pt>
                <c:pt idx="9">
                  <c:v>2500</c:v>
                </c:pt>
                <c:pt idx="10">
                  <c:v>2430</c:v>
                </c:pt>
                <c:pt idx="11">
                  <c:v>4180</c:v>
                </c:pt>
              </c:numCache>
            </c:numRef>
          </c:val>
          <c:smooth val="0"/>
          <c:extLst>
            <c:ext xmlns:c16="http://schemas.microsoft.com/office/drawing/2014/chart" uri="{C3380CC4-5D6E-409C-BE32-E72D297353CC}">
              <c16:uniqueId val="{00000005-88C1-4042-A818-15658769CACF}"/>
            </c:ext>
          </c:extLst>
        </c:ser>
        <c:ser>
          <c:idx val="6"/>
          <c:order val="6"/>
          <c:tx>
            <c:strRef>
              <c:f>环比分析!$A$66</c:f>
              <c:strCache>
                <c:ptCount val="1"/>
                <c:pt idx="0">
                  <c:v>泰国 SHA→Laem</c:v>
                </c:pt>
              </c:strCache>
            </c:strRef>
          </c:tx>
          <c:spPr>
            <a:ln w="28575" cap="rnd">
              <a:solidFill>
                <a:schemeClr val="accent1">
                  <a:lumMod val="60000"/>
                </a:schemeClr>
              </a:solidFill>
              <a:round/>
            </a:ln>
            <a:effectLst/>
          </c:spPr>
          <c:marker>
            <c:symbol val="none"/>
          </c:marker>
          <c:val>
            <c:numRef>
              <c:f>环比分析!$B$66:$M$66</c:f>
              <c:numCache>
                <c:formatCode>#,##0</c:formatCode>
                <c:ptCount val="12"/>
                <c:pt idx="0">
                  <c:v>440</c:v>
                </c:pt>
                <c:pt idx="1">
                  <c:v>490</c:v>
                </c:pt>
                <c:pt idx="2">
                  <c:v>395</c:v>
                </c:pt>
                <c:pt idx="3">
                  <c:v>395</c:v>
                </c:pt>
                <c:pt idx="4">
                  <c:v>395</c:v>
                </c:pt>
                <c:pt idx="5">
                  <c:v>1140</c:v>
                </c:pt>
                <c:pt idx="6">
                  <c:v>750</c:v>
                </c:pt>
                <c:pt idx="7">
                  <c:v>650</c:v>
                </c:pt>
                <c:pt idx="8">
                  <c:v>890</c:v>
                </c:pt>
                <c:pt idx="9">
                  <c:v>900</c:v>
                </c:pt>
                <c:pt idx="10">
                  <c:v>1230</c:v>
                </c:pt>
                <c:pt idx="11">
                  <c:v>1340</c:v>
                </c:pt>
              </c:numCache>
            </c:numRef>
          </c:val>
          <c:smooth val="0"/>
          <c:extLst>
            <c:ext xmlns:c16="http://schemas.microsoft.com/office/drawing/2014/chart" uri="{C3380CC4-5D6E-409C-BE32-E72D297353CC}">
              <c16:uniqueId val="{00000006-88C1-4042-A818-15658769CACF}"/>
            </c:ext>
          </c:extLst>
        </c:ser>
        <c:dLbls>
          <c:showLegendKey val="0"/>
          <c:showVal val="0"/>
          <c:showCatName val="0"/>
          <c:showSerName val="0"/>
          <c:showPercent val="0"/>
          <c:showBubbleSize val="0"/>
        </c:dLbls>
        <c:marker val="1"/>
        <c:smooth val="0"/>
        <c:axId val="278582304"/>
        <c:axId val="266751808"/>
      </c:lineChart>
      <c:lineChart>
        <c:grouping val="standard"/>
        <c:varyColors val="0"/>
        <c:ser>
          <c:idx val="0"/>
          <c:order val="0"/>
          <c:tx>
            <c:strRef>
              <c:f>环比分析!$A$60</c:f>
              <c:strCache>
                <c:ptCount val="1"/>
                <c:pt idx="0">
                  <c:v>航线 / 月份</c:v>
                </c:pt>
              </c:strCache>
            </c:strRef>
          </c:tx>
          <c:spPr>
            <a:ln w="31750" cap="rnd">
              <a:solidFill>
                <a:srgbClr val="C00000"/>
              </a:solidFill>
              <a:prstDash val="solid"/>
              <a:round/>
            </a:ln>
            <a:effectLst/>
          </c:spPr>
          <c:marker>
            <c:symbol val="circle"/>
            <c:size val="6"/>
            <c:spPr>
              <a:solidFill>
                <a:schemeClr val="accent1"/>
              </a:solidFill>
              <a:ln w="9525">
                <a:solidFill>
                  <a:schemeClr val="accent1"/>
                </a:solidFill>
              </a:ln>
              <a:effectLst/>
            </c:spPr>
          </c:marker>
          <c:val>
            <c:numRef>
              <c:f>环比分析!$B$60:$M$60</c:f>
              <c:numCache>
                <c:formatCode>#,##0</c:formatCode>
                <c:ptCount val="12"/>
              </c:numCache>
            </c:numRef>
          </c:val>
          <c:smooth val="0"/>
          <c:extLst>
            <c:ext xmlns:c16="http://schemas.microsoft.com/office/drawing/2014/chart" uri="{C3380CC4-5D6E-409C-BE32-E72D297353CC}">
              <c16:uniqueId val="{00000000-88C1-4042-A818-15658769CACF}"/>
            </c:ext>
          </c:extLst>
        </c:ser>
        <c:dLbls>
          <c:showLegendKey val="0"/>
          <c:showVal val="0"/>
          <c:showCatName val="0"/>
          <c:showSerName val="0"/>
          <c:showPercent val="0"/>
          <c:showBubbleSize val="0"/>
        </c:dLbls>
        <c:marker val="1"/>
        <c:smooth val="0"/>
        <c:axId val="246124176"/>
        <c:axId val="2105859487"/>
      </c:lineChart>
      <c:catAx>
        <c:axId val="27858230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751808"/>
        <c:crosses val="autoZero"/>
        <c:auto val="1"/>
        <c:lblAlgn val="ctr"/>
        <c:lblOffset val="100"/>
        <c:noMultiLvlLbl val="0"/>
      </c:catAx>
      <c:valAx>
        <c:axId val="2667518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582304"/>
        <c:crosses val="autoZero"/>
        <c:crossBetween val="between"/>
      </c:valAx>
      <c:valAx>
        <c:axId val="210585948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124176"/>
        <c:crosses val="max"/>
        <c:crossBetween val="between"/>
      </c:valAx>
      <c:catAx>
        <c:axId val="246124176"/>
        <c:scaling>
          <c:orientation val="minMax"/>
        </c:scaling>
        <c:delete val="1"/>
        <c:axPos val="b"/>
        <c:majorTickMark val="out"/>
        <c:minorTickMark val="none"/>
        <c:tickLblPos val="nextTo"/>
        <c:crossAx val="2105859487"/>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67</xdr:row>
      <xdr:rowOff>0</xdr:rowOff>
    </xdr:from>
    <xdr:to>
      <xdr:col>13</xdr:col>
      <xdr:colOff>0</xdr:colOff>
      <xdr:row>84</xdr:row>
      <xdr:rowOff>0</xdr:rowOff>
    </xdr:to>
    <xdr:graphicFrame macro="">
      <xdr:nvGraphicFramePr>
        <xdr:cNvPr id="5" name="Chart 4">
          <a:extLst>
            <a:ext uri="{FF2B5EF4-FFF2-40B4-BE49-F238E27FC236}">
              <a16:creationId xmlns:a16="http://schemas.microsoft.com/office/drawing/2014/main" id="{C79DE397-BB11-14F1-9722-0012AA0A59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22269;&#38469;&#28023;&#36816;&#36153;&#29992;&#25307;&#26631;&#20998;&#26512;_v4.xlsx" TargetMode="External"/><Relationship Id="rId2" Type="http://schemas.openxmlformats.org/officeDocument/2006/relationships/externalLinkPath" Target="/Users/borenyu/Downloads/&#22269;&#38469;&#28023;&#36816;&#36153;&#29992;&#25307;&#26631;&#20998;&#26512;_v4.xlsx" TargetMode="External"/><Relationship Id="rId1" Type="http://schemas.openxmlformats.org/officeDocument/2006/relationships/externalLinkPath" Target="/Users/borenyu/Downloads/&#22269;&#38469;&#28023;&#36816;&#36153;&#29992;&#25307;&#26631;&#20998;&#26512;_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环比分析"/>
      <sheetName val="Q2"/>
      <sheetName val="7-8月"/>
      <sheetName val="9月"/>
      <sheetName val="10月"/>
      <sheetName val="11月"/>
      <sheetName val="12月"/>
      <sheetName val="1月"/>
      <sheetName val="2月"/>
      <sheetName val="3月"/>
      <sheetName val="3.30-4.12"/>
      <sheetName val="4.13-4.26"/>
      <sheetName val="5月"/>
      <sheetName val="6月"/>
      <sheetName val="招标需求"/>
      <sheetName val="环比"/>
    </sheetNames>
    <sheetDataSet>
      <sheetData sheetId="0">
        <row r="77">
          <cell r="B77" t="str">
            <v>Jul-Aug 2025</v>
          </cell>
          <cell r="C77" t="str">
            <v>Sep 2025</v>
          </cell>
          <cell r="D77" t="str">
            <v>Oct 2025</v>
          </cell>
          <cell r="E77" t="str">
            <v>Nov 2025</v>
          </cell>
          <cell r="F77" t="str">
            <v>Dec 2025</v>
          </cell>
          <cell r="G77" t="str">
            <v>Jan 2026</v>
          </cell>
          <cell r="H77" t="str">
            <v>Feb 2026</v>
          </cell>
          <cell r="I77" t="str">
            <v>Mar 2026</v>
          </cell>
          <cell r="J77" t="str">
            <v>3.30-4.12 2026</v>
          </cell>
          <cell r="K77" t="str">
            <v>4.13-4.26 2026</v>
          </cell>
          <cell r="L77" t="str">
            <v>May 2026</v>
          </cell>
          <cell r="M77" t="str">
            <v>Jun 2026</v>
          </cell>
        </row>
        <row r="78">
          <cell r="B78">
            <v>3480</v>
          </cell>
          <cell r="C78">
            <v>2800</v>
          </cell>
          <cell r="D78">
            <v>2200</v>
          </cell>
          <cell r="E78">
            <v>2145</v>
          </cell>
          <cell r="F78">
            <v>2800</v>
          </cell>
          <cell r="G78">
            <v>3330</v>
          </cell>
          <cell r="H78">
            <v>4000</v>
          </cell>
          <cell r="I78">
            <v>3266</v>
          </cell>
          <cell r="J78">
            <v>3350</v>
          </cell>
          <cell r="K78">
            <v>2745</v>
          </cell>
          <cell r="L78">
            <v>2899</v>
          </cell>
          <cell r="M78">
            <v>4990</v>
          </cell>
        </row>
        <row r="79">
          <cell r="B79">
            <v>4600</v>
          </cell>
          <cell r="C79">
            <v>3485</v>
          </cell>
          <cell r="D79">
            <v>2886</v>
          </cell>
          <cell r="E79">
            <v>2600</v>
          </cell>
          <cell r="F79">
            <v>2600</v>
          </cell>
          <cell r="G79">
            <v>2390</v>
          </cell>
          <cell r="H79">
            <v>2450</v>
          </cell>
          <cell r="I79">
            <v>2350</v>
          </cell>
          <cell r="J79">
            <v>3590</v>
          </cell>
          <cell r="K79">
            <v>3450</v>
          </cell>
          <cell r="L79">
            <v>3249</v>
          </cell>
          <cell r="M79">
            <v>4800</v>
          </cell>
        </row>
        <row r="80">
          <cell r="B80">
            <v>6182</v>
          </cell>
          <cell r="C80">
            <v>6200</v>
          </cell>
          <cell r="D80">
            <v>3770</v>
          </cell>
          <cell r="E80">
            <v>2495</v>
          </cell>
          <cell r="F80">
            <v>1900</v>
          </cell>
          <cell r="G80">
            <v>2140</v>
          </cell>
          <cell r="H80">
            <v>2500</v>
          </cell>
          <cell r="I80">
            <v>2200</v>
          </cell>
          <cell r="J80">
            <v>3570</v>
          </cell>
          <cell r="K80">
            <v>3400</v>
          </cell>
          <cell r="L80">
            <v>3830</v>
          </cell>
          <cell r="M80">
            <v>5300</v>
          </cell>
        </row>
        <row r="81">
          <cell r="B81">
            <v>2680</v>
          </cell>
          <cell r="C81">
            <v>2270</v>
          </cell>
          <cell r="D81">
            <v>1990</v>
          </cell>
          <cell r="E81">
            <v>1890</v>
          </cell>
          <cell r="F81">
            <v>2250</v>
          </cell>
          <cell r="G81">
            <v>2200</v>
          </cell>
          <cell r="H81">
            <v>2750</v>
          </cell>
          <cell r="I81">
            <v>1800</v>
          </cell>
          <cell r="J81">
            <v>3090</v>
          </cell>
          <cell r="K81">
            <v>2000</v>
          </cell>
          <cell r="L81">
            <v>2000</v>
          </cell>
          <cell r="M81">
            <v>3500</v>
          </cell>
        </row>
        <row r="82">
          <cell r="B82">
            <v>440</v>
          </cell>
          <cell r="C82">
            <v>490</v>
          </cell>
          <cell r="D82">
            <v>395</v>
          </cell>
          <cell r="E82">
            <v>395</v>
          </cell>
          <cell r="F82">
            <v>395</v>
          </cell>
          <cell r="G82">
            <v>495</v>
          </cell>
          <cell r="H82">
            <v>750</v>
          </cell>
          <cell r="I82">
            <v>650</v>
          </cell>
          <cell r="J82">
            <v>890</v>
          </cell>
          <cell r="K82">
            <v>900</v>
          </cell>
          <cell r="L82">
            <v>1230</v>
          </cell>
          <cell r="M82">
            <v>1340</v>
          </cell>
        </row>
        <row r="83">
          <cell r="B83">
            <v>3500</v>
          </cell>
          <cell r="C83">
            <v>3050</v>
          </cell>
          <cell r="D83">
            <v>2550</v>
          </cell>
          <cell r="E83">
            <v>2350</v>
          </cell>
          <cell r="F83">
            <v>2048</v>
          </cell>
          <cell r="G83">
            <v>1940</v>
          </cell>
          <cell r="H83">
            <v>1200</v>
          </cell>
          <cell r="I83">
            <v>2120</v>
          </cell>
          <cell r="J83">
            <v>2590</v>
          </cell>
          <cell r="K83">
            <v>2500</v>
          </cell>
          <cell r="L83">
            <v>2430</v>
          </cell>
          <cell r="M83">
            <v>4180</v>
          </cell>
        </row>
        <row r="84">
          <cell r="B84">
            <v>2700</v>
          </cell>
          <cell r="C84">
            <v>2695</v>
          </cell>
          <cell r="D84">
            <v>2268</v>
          </cell>
          <cell r="E84">
            <v>1793</v>
          </cell>
          <cell r="F84">
            <v>1749</v>
          </cell>
          <cell r="G84">
            <v>1855</v>
          </cell>
          <cell r="H84">
            <v>1200</v>
          </cell>
          <cell r="I84">
            <v>1750</v>
          </cell>
          <cell r="J84">
            <v>2800</v>
          </cell>
          <cell r="K84">
            <v>2300</v>
          </cell>
          <cell r="L84">
            <v>2300</v>
          </cell>
          <cell r="M84">
            <v>4520</v>
          </cell>
        </row>
        <row r="85">
          <cell r="B85">
            <v>70</v>
          </cell>
          <cell r="C85">
            <v>68</v>
          </cell>
          <cell r="D85">
            <v>64</v>
          </cell>
          <cell r="E85">
            <v>64</v>
          </cell>
          <cell r="F85">
            <v>63</v>
          </cell>
          <cell r="G85">
            <v>64.59</v>
          </cell>
          <cell r="H85">
            <v>69.41</v>
          </cell>
          <cell r="I85">
            <v>103.1</v>
          </cell>
          <cell r="J85">
            <v>117</v>
          </cell>
          <cell r="K85">
            <v>117</v>
          </cell>
          <cell r="L85">
            <v>106</v>
          </cell>
          <cell r="M85">
            <v>106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A640470-F9CE-FA41-BFDD-F4AA1152BC5A}">
  <we:reference id="wa200009404" version="1.0.0.8" store="en-US" storeType="OMEX"/>
  <we:alternateReferences>
    <we:reference id="WA200009404" version="1.0.0.8" store="WA200009404" storeType="OMEX"/>
  </we:alternateReferences>
  <we:properties>
    <we:property name="claude.fileId" value="&quot;d5a76b7e-b999-4be2-8342-841b141793b9&quot;"/>
  </we:properties>
  <we:bindings/>
  <we:snapshot xmlns:r="http://schemas.openxmlformats.org/officeDocument/2006/relationships"/>
</we:webextension>
</file>

<file path=xl/webextensions/webextension2.xml><?xml version="1.0" encoding="utf-8"?>
<we:webextension xmlns:we="http://schemas.microsoft.com/office/webextensions/webextension/2010/11" id="{10B2162D-1F47-F949-A946-6EB864C7A184}">
  <we:reference id="WA200010725" version="1.0.0.1" store="Omex" storeType="OMEX"/>
  <we:alternateReferences>
    <we:reference id="WA200010725" version="1.0.0.1" store="WA200010725" storeType="OMEX"/>
  </we:alternateReferences>
  <we:properties>
    <we:property name="claude.fileId" value="&quot;739f4756-7dba-45d0-99ea-279093791f1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1C9CC-7C05-4DD8-88C7-0FEC43D4BA49}">
  <dimension ref="A1:Z57"/>
  <sheetViews>
    <sheetView topLeftCell="F1" zoomScale="97" zoomScaleNormal="100" workbookViewId="0">
      <pane ySplit="1" topLeftCell="A4" activePane="bottomLeft" state="frozen"/>
      <selection activeCell="C1" sqref="C1"/>
      <selection pane="bottomLeft" activeCell="W11" sqref="W11"/>
    </sheetView>
  </sheetViews>
  <sheetFormatPr baseColWidth="10" defaultColWidth="9" defaultRowHeight="11"/>
  <cols>
    <col min="1" max="1" width="21.6640625" style="29" customWidth="1"/>
    <col min="2" max="2" width="26.6640625" style="29" customWidth="1"/>
    <col min="3" max="3" width="26.6640625" style="30" customWidth="1"/>
    <col min="4" max="5" width="11.6640625" style="29" customWidth="1"/>
    <col min="6" max="6" width="10" style="29" customWidth="1"/>
    <col min="7" max="7" width="10.83203125" style="29" customWidth="1"/>
    <col min="8" max="8" width="9.1640625" style="29" customWidth="1"/>
    <col min="9" max="9" width="8.33203125" style="29" customWidth="1"/>
    <col min="10" max="10" width="9.1640625" style="29" customWidth="1"/>
    <col min="11" max="12" width="10" style="29" customWidth="1"/>
    <col min="13" max="13" width="8.33203125" style="30" customWidth="1"/>
    <col min="14" max="14" width="12.5" style="30" customWidth="1"/>
    <col min="15" max="15" width="10.83203125" style="30" customWidth="1"/>
    <col min="16" max="16" width="11.6640625" style="30" customWidth="1"/>
    <col min="17" max="18" width="13.33203125" style="30" customWidth="1"/>
    <col min="19" max="19" width="14.1640625" style="30" customWidth="1"/>
    <col min="20" max="20" width="12.1640625" style="30" customWidth="1"/>
    <col min="21" max="21" width="10.6640625" style="30" customWidth="1"/>
    <col min="22" max="22" width="9.1640625" style="30" customWidth="1"/>
    <col min="23" max="23" width="7.83203125" style="30" customWidth="1"/>
    <col min="24" max="24" width="29.83203125" style="29" bestFit="1" customWidth="1"/>
    <col min="25" max="25" width="27.6640625" style="29" bestFit="1" customWidth="1"/>
    <col min="26" max="26" width="137.6640625" style="29" bestFit="1" customWidth="1"/>
    <col min="27" max="16384" width="9" style="29"/>
  </cols>
  <sheetData>
    <row r="1" spans="1:26" ht="24" customHeight="1">
      <c r="A1" s="252" t="s">
        <v>526</v>
      </c>
      <c r="B1" s="253"/>
      <c r="C1" s="253"/>
      <c r="D1" s="253"/>
      <c r="E1" s="253"/>
      <c r="F1" s="253"/>
      <c r="G1" s="253"/>
      <c r="H1" s="253"/>
      <c r="I1" s="253"/>
      <c r="J1" s="253"/>
      <c r="K1" s="253"/>
      <c r="L1" s="253"/>
      <c r="M1" s="253"/>
      <c r="N1" s="253"/>
      <c r="O1" s="253"/>
      <c r="P1" s="253"/>
      <c r="Q1" s="253"/>
      <c r="R1" s="253"/>
      <c r="S1" s="254"/>
      <c r="T1"/>
      <c r="U1"/>
      <c r="V1"/>
      <c r="W1"/>
      <c r="X1"/>
      <c r="Y1"/>
      <c r="Z1"/>
    </row>
    <row r="2" spans="1:26" ht="24" customHeight="1" thickBot="1">
      <c r="A2" s="226" t="s">
        <v>1</v>
      </c>
      <c r="B2" s="227" t="s">
        <v>2</v>
      </c>
      <c r="C2" s="227" t="s">
        <v>254</v>
      </c>
      <c r="D2" s="227" t="s">
        <v>255</v>
      </c>
      <c r="E2" s="227" t="s">
        <v>136</v>
      </c>
      <c r="F2" s="227" t="s">
        <v>512</v>
      </c>
      <c r="G2" s="227" t="s">
        <v>527</v>
      </c>
      <c r="H2" s="227" t="s">
        <v>528</v>
      </c>
      <c r="I2" s="227" t="s">
        <v>132</v>
      </c>
      <c r="J2" s="227" t="s">
        <v>121</v>
      </c>
      <c r="K2" s="227" t="s">
        <v>514</v>
      </c>
      <c r="L2" s="227" t="s">
        <v>129</v>
      </c>
      <c r="M2" s="227" t="s">
        <v>515</v>
      </c>
      <c r="N2" s="227" t="s">
        <v>516</v>
      </c>
      <c r="O2" s="227" t="s">
        <v>131</v>
      </c>
      <c r="P2" s="227" t="s">
        <v>517</v>
      </c>
      <c r="Q2" s="227" t="s">
        <v>518</v>
      </c>
      <c r="R2" s="227" t="s">
        <v>519</v>
      </c>
      <c r="S2" s="228" t="s">
        <v>520</v>
      </c>
      <c r="T2"/>
      <c r="U2"/>
      <c r="V2"/>
      <c r="W2"/>
      <c r="X2"/>
      <c r="Y2"/>
      <c r="Z2"/>
    </row>
    <row r="3" spans="1:26" ht="22" customHeight="1">
      <c r="A3" s="237" t="s">
        <v>529</v>
      </c>
      <c r="B3" s="238"/>
      <c r="C3" s="238"/>
      <c r="D3" s="238"/>
      <c r="E3" s="238"/>
      <c r="F3" s="238"/>
      <c r="G3" s="238"/>
      <c r="H3" s="260"/>
      <c r="I3" s="261"/>
      <c r="J3" s="261"/>
      <c r="K3" s="261"/>
      <c r="L3" s="261"/>
      <c r="M3" s="261"/>
      <c r="N3" s="261"/>
      <c r="O3" s="261"/>
      <c r="P3" s="261"/>
      <c r="Q3" s="261"/>
      <c r="R3" s="261"/>
      <c r="S3" s="262"/>
      <c r="T3"/>
      <c r="U3"/>
      <c r="V3"/>
      <c r="W3"/>
      <c r="X3"/>
      <c r="Y3"/>
      <c r="Z3"/>
    </row>
    <row r="4" spans="1:26" ht="24" customHeight="1">
      <c r="A4" s="154" t="s">
        <v>270</v>
      </c>
      <c r="B4" s="155" t="s">
        <v>449</v>
      </c>
      <c r="C4" s="155" t="s">
        <v>17</v>
      </c>
      <c r="D4" s="155" t="s">
        <v>31</v>
      </c>
      <c r="E4" s="155" t="s">
        <v>32</v>
      </c>
      <c r="F4" s="155" t="s">
        <v>524</v>
      </c>
      <c r="G4" s="155" t="s">
        <v>530</v>
      </c>
      <c r="H4" s="156">
        <v>15</v>
      </c>
      <c r="I4" s="157">
        <v>7680</v>
      </c>
      <c r="J4" s="157">
        <v>6633</v>
      </c>
      <c r="K4" s="157"/>
      <c r="L4" s="157">
        <v>6385</v>
      </c>
      <c r="M4" s="157">
        <v>7200</v>
      </c>
      <c r="N4" s="157">
        <v>5450</v>
      </c>
      <c r="O4" s="157">
        <v>6300</v>
      </c>
      <c r="P4" s="157" t="s">
        <v>119</v>
      </c>
      <c r="Q4" s="157">
        <v>6822</v>
      </c>
      <c r="R4" s="157"/>
      <c r="S4" s="205"/>
      <c r="T4"/>
      <c r="U4"/>
      <c r="V4"/>
      <c r="W4"/>
      <c r="X4"/>
      <c r="Y4"/>
      <c r="Z4"/>
    </row>
    <row r="5" spans="1:26" ht="22" customHeight="1">
      <c r="A5" s="240" t="s">
        <v>531</v>
      </c>
      <c r="B5" s="241"/>
      <c r="C5" s="241"/>
      <c r="D5" s="241"/>
      <c r="E5" s="241"/>
      <c r="F5" s="241"/>
      <c r="G5" s="241"/>
      <c r="H5" s="263"/>
      <c r="I5" s="264"/>
      <c r="J5" s="264"/>
      <c r="K5" s="264"/>
      <c r="L5" s="264"/>
      <c r="M5" s="264"/>
      <c r="N5" s="264"/>
      <c r="O5" s="264"/>
      <c r="P5" s="264"/>
      <c r="Q5" s="264"/>
      <c r="R5" s="264"/>
      <c r="S5" s="265"/>
      <c r="T5"/>
      <c r="U5"/>
      <c r="V5"/>
      <c r="W5"/>
      <c r="X5"/>
      <c r="Y5"/>
      <c r="Z5"/>
    </row>
    <row r="6" spans="1:26" ht="24" customHeight="1">
      <c r="A6" s="76" t="s">
        <v>373</v>
      </c>
      <c r="B6" s="81" t="s">
        <v>450</v>
      </c>
      <c r="C6" s="81" t="s">
        <v>26</v>
      </c>
      <c r="D6" s="81" t="s">
        <v>105</v>
      </c>
      <c r="E6" s="81" t="s">
        <v>53</v>
      </c>
      <c r="F6" s="81"/>
      <c r="G6" s="81" t="s">
        <v>230</v>
      </c>
      <c r="H6" s="66">
        <v>3</v>
      </c>
      <c r="I6" s="86">
        <v>2788</v>
      </c>
      <c r="J6" s="86">
        <v>2860</v>
      </c>
      <c r="K6" s="86">
        <v>3430</v>
      </c>
      <c r="L6" s="86"/>
      <c r="M6" s="86"/>
      <c r="N6" s="86">
        <v>2480</v>
      </c>
      <c r="O6" s="86">
        <v>3550</v>
      </c>
      <c r="P6" s="86" t="s">
        <v>119</v>
      </c>
      <c r="Q6" s="86"/>
      <c r="R6" s="86"/>
      <c r="S6" s="206"/>
      <c r="T6"/>
      <c r="U6"/>
      <c r="V6"/>
      <c r="W6"/>
      <c r="X6"/>
      <c r="Y6"/>
      <c r="Z6"/>
    </row>
    <row r="7" spans="1:26" ht="24" customHeight="1">
      <c r="A7" s="76" t="s">
        <v>375</v>
      </c>
      <c r="B7" s="81" t="s">
        <v>450</v>
      </c>
      <c r="C7" s="81" t="s">
        <v>56</v>
      </c>
      <c r="D7" s="81" t="s">
        <v>105</v>
      </c>
      <c r="E7" s="81" t="s">
        <v>53</v>
      </c>
      <c r="F7" s="81"/>
      <c r="G7" s="81" t="s">
        <v>230</v>
      </c>
      <c r="H7" s="66">
        <v>19</v>
      </c>
      <c r="I7" s="86">
        <v>2688</v>
      </c>
      <c r="J7" s="86">
        <v>2860</v>
      </c>
      <c r="K7" s="86">
        <v>3430</v>
      </c>
      <c r="L7" s="86"/>
      <c r="M7" s="86"/>
      <c r="N7" s="86">
        <v>2480</v>
      </c>
      <c r="O7" s="86">
        <v>3800</v>
      </c>
      <c r="P7" s="86" t="s">
        <v>119</v>
      </c>
      <c r="Q7" s="86"/>
      <c r="R7" s="86"/>
      <c r="S7" s="206"/>
      <c r="T7"/>
      <c r="U7"/>
      <c r="V7"/>
      <c r="W7"/>
      <c r="X7"/>
      <c r="Y7"/>
      <c r="Z7"/>
    </row>
    <row r="8" spans="1:26" s="31" customFormat="1" ht="24" customHeight="1">
      <c r="A8" s="76" t="s">
        <v>532</v>
      </c>
      <c r="B8" s="81" t="s">
        <v>450</v>
      </c>
      <c r="C8" s="81" t="s">
        <v>17</v>
      </c>
      <c r="D8" s="81" t="s">
        <v>105</v>
      </c>
      <c r="E8" s="81" t="s">
        <v>53</v>
      </c>
      <c r="F8" s="81"/>
      <c r="G8" s="81" t="s">
        <v>230</v>
      </c>
      <c r="H8" s="66">
        <v>21</v>
      </c>
      <c r="I8" s="86">
        <v>2803</v>
      </c>
      <c r="J8" s="86">
        <v>2420</v>
      </c>
      <c r="K8" s="86">
        <v>2530</v>
      </c>
      <c r="L8" s="86">
        <v>4060</v>
      </c>
      <c r="M8" s="86">
        <v>4626</v>
      </c>
      <c r="N8" s="86">
        <v>2260</v>
      </c>
      <c r="O8" s="86">
        <v>3550</v>
      </c>
      <c r="P8" s="86">
        <v>2800</v>
      </c>
      <c r="Q8" s="86">
        <v>2266</v>
      </c>
      <c r="R8" s="86"/>
      <c r="S8" s="206"/>
      <c r="T8"/>
      <c r="U8"/>
      <c r="V8"/>
      <c r="W8"/>
      <c r="X8"/>
      <c r="Y8"/>
      <c r="Z8"/>
    </row>
    <row r="9" spans="1:26" s="31" customFormat="1" ht="24" customHeight="1">
      <c r="A9" s="76" t="s">
        <v>533</v>
      </c>
      <c r="B9" s="81" t="s">
        <v>450</v>
      </c>
      <c r="C9" s="81" t="s">
        <v>29</v>
      </c>
      <c r="D9" s="81" t="s">
        <v>105</v>
      </c>
      <c r="E9" s="81" t="s">
        <v>53</v>
      </c>
      <c r="F9" s="81"/>
      <c r="G9" s="81" t="s">
        <v>230</v>
      </c>
      <c r="H9" s="66">
        <v>18</v>
      </c>
      <c r="I9" s="86">
        <v>3863</v>
      </c>
      <c r="J9" s="86">
        <v>3080</v>
      </c>
      <c r="K9" s="86">
        <v>4000</v>
      </c>
      <c r="L9" s="86"/>
      <c r="M9" s="86"/>
      <c r="N9" s="86">
        <v>3100</v>
      </c>
      <c r="O9" s="86">
        <v>5200</v>
      </c>
      <c r="P9" s="86" t="s">
        <v>119</v>
      </c>
      <c r="Q9" s="86"/>
      <c r="R9" s="86"/>
      <c r="S9" s="206"/>
      <c r="T9"/>
      <c r="U9"/>
      <c r="V9"/>
      <c r="W9"/>
      <c r="X9"/>
      <c r="Y9"/>
      <c r="Z9"/>
    </row>
    <row r="10" spans="1:26" ht="24" customHeight="1">
      <c r="A10" s="76" t="s">
        <v>86</v>
      </c>
      <c r="B10" s="81" t="s">
        <v>450</v>
      </c>
      <c r="C10" s="81" t="s">
        <v>59</v>
      </c>
      <c r="D10" s="81" t="s">
        <v>105</v>
      </c>
      <c r="E10" s="81" t="s">
        <v>53</v>
      </c>
      <c r="F10" s="81"/>
      <c r="G10" s="81" t="s">
        <v>230</v>
      </c>
      <c r="H10" s="66">
        <v>12</v>
      </c>
      <c r="I10" s="86">
        <v>2483</v>
      </c>
      <c r="J10" s="86">
        <v>2530</v>
      </c>
      <c r="K10" s="86">
        <v>2200</v>
      </c>
      <c r="L10" s="86"/>
      <c r="M10" s="86">
        <v>5226</v>
      </c>
      <c r="N10" s="86">
        <v>2180</v>
      </c>
      <c r="O10" s="86">
        <v>3900</v>
      </c>
      <c r="P10" s="86" t="s">
        <v>119</v>
      </c>
      <c r="Q10" s="86">
        <v>1921</v>
      </c>
      <c r="R10" s="86"/>
      <c r="S10" s="206"/>
      <c r="T10"/>
      <c r="U10"/>
      <c r="V10"/>
      <c r="W10"/>
      <c r="X10"/>
      <c r="Y10"/>
      <c r="Z10"/>
    </row>
    <row r="11" spans="1:26" ht="22" customHeight="1">
      <c r="A11" s="243" t="s">
        <v>534</v>
      </c>
      <c r="B11" s="244"/>
      <c r="C11" s="244"/>
      <c r="D11" s="244"/>
      <c r="E11" s="244"/>
      <c r="F11" s="244"/>
      <c r="G11" s="244"/>
      <c r="H11" s="266"/>
      <c r="I11" s="267"/>
      <c r="J11" s="267"/>
      <c r="K11" s="267"/>
      <c r="L11" s="267"/>
      <c r="M11" s="267"/>
      <c r="N11" s="267"/>
      <c r="O11" s="267"/>
      <c r="P11" s="267"/>
      <c r="Q11" s="267"/>
      <c r="R11" s="267"/>
      <c r="S11" s="268"/>
      <c r="T11"/>
      <c r="U11"/>
      <c r="V11"/>
      <c r="W11"/>
      <c r="X11"/>
      <c r="Y11"/>
      <c r="Z11"/>
    </row>
    <row r="12" spans="1:26" ht="24" customHeight="1">
      <c r="A12" s="77" t="s">
        <v>532</v>
      </c>
      <c r="B12" s="82" t="s">
        <v>465</v>
      </c>
      <c r="C12" s="82" t="s">
        <v>17</v>
      </c>
      <c r="D12" s="82" t="s">
        <v>18</v>
      </c>
      <c r="E12" s="82" t="s">
        <v>535</v>
      </c>
      <c r="F12" s="82"/>
      <c r="G12" s="82" t="s">
        <v>530</v>
      </c>
      <c r="H12" s="67">
        <v>6</v>
      </c>
      <c r="I12" s="87">
        <v>7245</v>
      </c>
      <c r="J12" s="87">
        <v>8334</v>
      </c>
      <c r="K12" s="87">
        <v>6030</v>
      </c>
      <c r="L12" s="87">
        <v>6960</v>
      </c>
      <c r="M12" s="87">
        <v>8276</v>
      </c>
      <c r="N12" s="87">
        <v>6145</v>
      </c>
      <c r="O12" s="87">
        <v>7300</v>
      </c>
      <c r="P12" s="87">
        <v>5600</v>
      </c>
      <c r="Q12" s="87">
        <v>6365</v>
      </c>
      <c r="R12" s="87">
        <v>8945</v>
      </c>
      <c r="S12" s="207"/>
      <c r="T12"/>
      <c r="U12"/>
      <c r="V12"/>
      <c r="W12"/>
      <c r="X12"/>
      <c r="Y12"/>
      <c r="Z12"/>
    </row>
    <row r="13" spans="1:26" ht="24" customHeight="1">
      <c r="A13" s="77" t="s">
        <v>536</v>
      </c>
      <c r="B13" s="82" t="s">
        <v>537</v>
      </c>
      <c r="C13" s="82" t="s">
        <v>17</v>
      </c>
      <c r="D13" s="82" t="s">
        <v>23</v>
      </c>
      <c r="E13" s="82" t="s">
        <v>535</v>
      </c>
      <c r="F13" s="82"/>
      <c r="G13" s="82" t="s">
        <v>530</v>
      </c>
      <c r="H13" s="67">
        <v>6</v>
      </c>
      <c r="I13" s="87">
        <v>6205</v>
      </c>
      <c r="J13" s="87">
        <v>5947</v>
      </c>
      <c r="K13" s="87">
        <v>7180</v>
      </c>
      <c r="L13" s="87">
        <v>7041</v>
      </c>
      <c r="M13" s="87">
        <v>7650</v>
      </c>
      <c r="N13" s="87">
        <v>5495</v>
      </c>
      <c r="O13" s="87">
        <v>7150</v>
      </c>
      <c r="P13" s="87">
        <v>5100</v>
      </c>
      <c r="Q13" s="87">
        <v>6915</v>
      </c>
      <c r="R13" s="87">
        <v>9561</v>
      </c>
      <c r="S13" s="207"/>
      <c r="T13"/>
      <c r="U13"/>
      <c r="V13"/>
      <c r="W13"/>
      <c r="X13"/>
      <c r="Y13"/>
      <c r="Z13"/>
    </row>
    <row r="14" spans="1:26" ht="24" customHeight="1">
      <c r="A14" s="77" t="s">
        <v>373</v>
      </c>
      <c r="B14" s="82" t="s">
        <v>374</v>
      </c>
      <c r="C14" s="82" t="s">
        <v>26</v>
      </c>
      <c r="D14" s="82" t="s">
        <v>27</v>
      </c>
      <c r="E14" s="82" t="s">
        <v>535</v>
      </c>
      <c r="F14" s="82"/>
      <c r="G14" s="82" t="s">
        <v>530</v>
      </c>
      <c r="H14" s="67">
        <v>10</v>
      </c>
      <c r="I14" s="87">
        <v>6780</v>
      </c>
      <c r="J14" s="87">
        <v>3720</v>
      </c>
      <c r="K14" s="87">
        <v>6080</v>
      </c>
      <c r="L14" s="87"/>
      <c r="M14" s="87"/>
      <c r="N14" s="87">
        <v>6065</v>
      </c>
      <c r="O14" s="87">
        <v>7750</v>
      </c>
      <c r="P14" s="87" t="s">
        <v>119</v>
      </c>
      <c r="Q14" s="87"/>
      <c r="R14" s="87"/>
      <c r="S14" s="207"/>
      <c r="T14"/>
      <c r="U14"/>
      <c r="V14"/>
      <c r="W14"/>
      <c r="X14"/>
      <c r="Y14"/>
      <c r="Z14"/>
    </row>
    <row r="15" spans="1:26" ht="24" customHeight="1">
      <c r="A15" s="77" t="s">
        <v>532</v>
      </c>
      <c r="B15" s="82" t="s">
        <v>374</v>
      </c>
      <c r="C15" s="82" t="s">
        <v>17</v>
      </c>
      <c r="D15" s="82" t="s">
        <v>27</v>
      </c>
      <c r="E15" s="82" t="s">
        <v>535</v>
      </c>
      <c r="F15" s="82"/>
      <c r="G15" s="82" t="s">
        <v>530</v>
      </c>
      <c r="H15" s="67">
        <v>8</v>
      </c>
      <c r="I15" s="87">
        <v>7055</v>
      </c>
      <c r="J15" s="87">
        <v>4895</v>
      </c>
      <c r="K15" s="87">
        <v>6030</v>
      </c>
      <c r="L15" s="87">
        <v>7560</v>
      </c>
      <c r="M15" s="87">
        <v>8111</v>
      </c>
      <c r="N15" s="87">
        <v>6145</v>
      </c>
      <c r="O15" s="87">
        <v>7200</v>
      </c>
      <c r="P15" s="87">
        <v>5900</v>
      </c>
      <c r="Q15" s="87">
        <v>6465</v>
      </c>
      <c r="R15" s="87">
        <v>10261</v>
      </c>
      <c r="S15" s="207"/>
      <c r="T15"/>
      <c r="U15"/>
      <c r="V15"/>
      <c r="W15"/>
      <c r="X15"/>
      <c r="Y15"/>
      <c r="Z15"/>
    </row>
    <row r="16" spans="1:26" ht="22" customHeight="1">
      <c r="A16" s="246" t="s">
        <v>538</v>
      </c>
      <c r="B16" s="247"/>
      <c r="C16" s="247"/>
      <c r="D16" s="247"/>
      <c r="E16" s="247"/>
      <c r="F16" s="247"/>
      <c r="G16" s="247"/>
      <c r="H16" s="269"/>
      <c r="I16" s="270"/>
      <c r="J16" s="270"/>
      <c r="K16" s="270"/>
      <c r="L16" s="270"/>
      <c r="M16" s="270"/>
      <c r="N16" s="270"/>
      <c r="O16" s="270"/>
      <c r="P16" s="270"/>
      <c r="Q16" s="270"/>
      <c r="R16" s="270"/>
      <c r="S16" s="271"/>
      <c r="T16"/>
      <c r="U16"/>
      <c r="V16"/>
      <c r="W16"/>
      <c r="X16"/>
      <c r="Y16"/>
      <c r="Z16"/>
    </row>
    <row r="17" spans="1:26" ht="24" customHeight="1">
      <c r="A17" s="162" t="s">
        <v>375</v>
      </c>
      <c r="B17" s="163" t="s">
        <v>532</v>
      </c>
      <c r="C17" s="163" t="s">
        <v>39</v>
      </c>
      <c r="D17" s="163" t="s">
        <v>17</v>
      </c>
      <c r="E17" s="163" t="s">
        <v>48</v>
      </c>
      <c r="F17" s="163" t="s">
        <v>523</v>
      </c>
      <c r="G17" s="163" t="s">
        <v>530</v>
      </c>
      <c r="H17" s="164">
        <v>15</v>
      </c>
      <c r="I17" s="165">
        <v>1715</v>
      </c>
      <c r="J17" s="165">
        <v>2053</v>
      </c>
      <c r="K17" s="165">
        <v>1650</v>
      </c>
      <c r="L17" s="165"/>
      <c r="M17" s="165"/>
      <c r="N17" s="165">
        <v>1850</v>
      </c>
      <c r="O17" s="165">
        <v>1790</v>
      </c>
      <c r="P17" s="165" t="s">
        <v>119</v>
      </c>
      <c r="Q17" s="165"/>
      <c r="R17" s="165"/>
      <c r="S17" s="208"/>
      <c r="T17"/>
      <c r="U17"/>
      <c r="V17"/>
      <c r="W17"/>
      <c r="X17"/>
      <c r="Y17"/>
      <c r="Z17"/>
    </row>
    <row r="18" spans="1:26" ht="24" customHeight="1">
      <c r="A18" s="162" t="s">
        <v>376</v>
      </c>
      <c r="B18" s="163" t="s">
        <v>532</v>
      </c>
      <c r="C18" s="163" t="s">
        <v>334</v>
      </c>
      <c r="D18" s="163" t="s">
        <v>17</v>
      </c>
      <c r="E18" s="163" t="s">
        <v>48</v>
      </c>
      <c r="F18" s="163" t="s">
        <v>523</v>
      </c>
      <c r="G18" s="163" t="s">
        <v>530</v>
      </c>
      <c r="H18" s="164">
        <v>7</v>
      </c>
      <c r="I18" s="165">
        <v>1859</v>
      </c>
      <c r="J18" s="165">
        <v>1818</v>
      </c>
      <c r="K18" s="165">
        <v>1950</v>
      </c>
      <c r="L18" s="165"/>
      <c r="M18" s="165"/>
      <c r="N18" s="165">
        <v>1800</v>
      </c>
      <c r="O18" s="165">
        <v>1690</v>
      </c>
      <c r="P18" s="165" t="s">
        <v>119</v>
      </c>
      <c r="Q18" s="165"/>
      <c r="R18" s="165"/>
      <c r="S18" s="208"/>
      <c r="T18"/>
      <c r="U18"/>
      <c r="V18"/>
      <c r="W18"/>
      <c r="X18"/>
      <c r="Y18"/>
      <c r="Z18"/>
    </row>
    <row r="19" spans="1:26" ht="24" customHeight="1">
      <c r="A19" s="162" t="s">
        <v>532</v>
      </c>
      <c r="B19" s="163" t="s">
        <v>449</v>
      </c>
      <c r="C19" s="163" t="s">
        <v>17</v>
      </c>
      <c r="D19" s="163" t="s">
        <v>31</v>
      </c>
      <c r="E19" s="163" t="s">
        <v>48</v>
      </c>
      <c r="F19" s="163" t="s">
        <v>523</v>
      </c>
      <c r="G19" s="163" t="s">
        <v>530</v>
      </c>
      <c r="H19" s="164">
        <v>45</v>
      </c>
      <c r="I19" s="165">
        <v>4950</v>
      </c>
      <c r="J19" s="165">
        <v>5735</v>
      </c>
      <c r="K19" s="165"/>
      <c r="L19" s="165">
        <v>5420</v>
      </c>
      <c r="M19" s="165">
        <v>6226</v>
      </c>
      <c r="N19" s="165">
        <v>4440</v>
      </c>
      <c r="O19" s="165">
        <v>4900</v>
      </c>
      <c r="P19" s="165" t="s">
        <v>119</v>
      </c>
      <c r="Q19" s="165">
        <v>5915</v>
      </c>
      <c r="R19" s="165"/>
      <c r="S19" s="208"/>
      <c r="T19"/>
      <c r="U19"/>
      <c r="V19"/>
      <c r="W19"/>
      <c r="X19"/>
      <c r="Y19"/>
      <c r="Z19"/>
    </row>
    <row r="20" spans="1:26" ht="22" customHeight="1">
      <c r="A20" s="249" t="s">
        <v>539</v>
      </c>
      <c r="B20" s="250"/>
      <c r="C20" s="250"/>
      <c r="D20" s="250"/>
      <c r="E20" s="250"/>
      <c r="F20" s="250"/>
      <c r="G20" s="250"/>
      <c r="H20" s="272"/>
      <c r="I20" s="273"/>
      <c r="J20" s="273"/>
      <c r="K20" s="273"/>
      <c r="L20" s="273"/>
      <c r="M20" s="273"/>
      <c r="N20" s="273"/>
      <c r="O20" s="273"/>
      <c r="P20" s="273"/>
      <c r="Q20" s="273"/>
      <c r="R20" s="273"/>
      <c r="S20" s="274"/>
      <c r="T20"/>
      <c r="U20"/>
      <c r="V20"/>
      <c r="W20"/>
      <c r="X20"/>
      <c r="Y20"/>
      <c r="Z20"/>
    </row>
    <row r="21" spans="1:26" ht="24" customHeight="1">
      <c r="A21" s="78" t="s">
        <v>373</v>
      </c>
      <c r="B21" s="83" t="s">
        <v>380</v>
      </c>
      <c r="C21" s="83" t="s">
        <v>26</v>
      </c>
      <c r="D21" s="83" t="s">
        <v>35</v>
      </c>
      <c r="E21" s="83" t="s">
        <v>40</v>
      </c>
      <c r="F21" s="83" t="s">
        <v>540</v>
      </c>
      <c r="G21" s="83" t="s">
        <v>530</v>
      </c>
      <c r="H21" s="68">
        <v>4</v>
      </c>
      <c r="I21" s="88">
        <v>5135</v>
      </c>
      <c r="J21" s="88">
        <v>6218</v>
      </c>
      <c r="K21" s="88">
        <v>6360</v>
      </c>
      <c r="L21" s="88"/>
      <c r="M21" s="88"/>
      <c r="N21" s="88">
        <v>8280</v>
      </c>
      <c r="O21" s="88">
        <v>6550</v>
      </c>
      <c r="P21" s="88" t="s">
        <v>119</v>
      </c>
      <c r="Q21" s="88"/>
      <c r="R21" s="88"/>
      <c r="S21" s="209"/>
      <c r="T21"/>
      <c r="U21"/>
      <c r="V21"/>
      <c r="W21"/>
      <c r="X21"/>
      <c r="Y21"/>
      <c r="Z21"/>
    </row>
    <row r="22" spans="1:26" ht="24" customHeight="1">
      <c r="A22" s="78" t="s">
        <v>536</v>
      </c>
      <c r="B22" s="83" t="s">
        <v>541</v>
      </c>
      <c r="C22" s="83" t="s">
        <v>17</v>
      </c>
      <c r="D22" s="83" t="s">
        <v>39</v>
      </c>
      <c r="E22" s="83" t="s">
        <v>40</v>
      </c>
      <c r="F22" s="83" t="s">
        <v>540</v>
      </c>
      <c r="G22" s="83" t="s">
        <v>530</v>
      </c>
      <c r="H22" s="68">
        <v>3</v>
      </c>
      <c r="I22" s="88">
        <v>1870</v>
      </c>
      <c r="J22" s="88">
        <v>2833</v>
      </c>
      <c r="K22" s="88">
        <v>2330</v>
      </c>
      <c r="L22" s="88"/>
      <c r="M22" s="88">
        <v>2426</v>
      </c>
      <c r="N22" s="88">
        <v>2360</v>
      </c>
      <c r="O22" s="88">
        <v>2400</v>
      </c>
      <c r="P22" s="88">
        <v>3400</v>
      </c>
      <c r="Q22" s="88">
        <v>2190</v>
      </c>
      <c r="R22" s="88"/>
      <c r="S22" s="209"/>
      <c r="T22"/>
      <c r="U22"/>
      <c r="V22"/>
      <c r="W22"/>
      <c r="X22"/>
      <c r="Y22"/>
      <c r="Z22"/>
    </row>
    <row r="23" spans="1:26" ht="24" customHeight="1">
      <c r="A23" s="78" t="s">
        <v>542</v>
      </c>
      <c r="B23" s="83" t="s">
        <v>543</v>
      </c>
      <c r="C23" s="83" t="s">
        <v>17</v>
      </c>
      <c r="D23" s="83" t="s">
        <v>39</v>
      </c>
      <c r="E23" s="83" t="s">
        <v>40</v>
      </c>
      <c r="F23" s="83" t="s">
        <v>540</v>
      </c>
      <c r="G23" s="83" t="s">
        <v>530</v>
      </c>
      <c r="H23" s="68">
        <v>12</v>
      </c>
      <c r="I23" s="88">
        <v>1895</v>
      </c>
      <c r="J23" s="88">
        <v>2833</v>
      </c>
      <c r="K23" s="88">
        <v>2330</v>
      </c>
      <c r="L23" s="88"/>
      <c r="M23" s="88">
        <v>2300</v>
      </c>
      <c r="N23" s="88">
        <v>2360</v>
      </c>
      <c r="O23" s="88">
        <v>2400</v>
      </c>
      <c r="P23" s="88">
        <v>3400</v>
      </c>
      <c r="Q23" s="88">
        <v>2190</v>
      </c>
      <c r="R23" s="88"/>
      <c r="S23" s="209"/>
      <c r="T23"/>
      <c r="U23"/>
      <c r="V23"/>
      <c r="W23"/>
      <c r="X23"/>
      <c r="Y23"/>
      <c r="Z23"/>
    </row>
    <row r="24" spans="1:26" ht="24" customHeight="1">
      <c r="A24" s="78" t="s">
        <v>276</v>
      </c>
      <c r="B24" s="83" t="s">
        <v>541</v>
      </c>
      <c r="C24" s="83" t="s">
        <v>44</v>
      </c>
      <c r="D24" s="83" t="s">
        <v>39</v>
      </c>
      <c r="E24" s="83" t="s">
        <v>40</v>
      </c>
      <c r="F24" s="83" t="s">
        <v>540</v>
      </c>
      <c r="G24" s="83" t="s">
        <v>530</v>
      </c>
      <c r="H24" s="68">
        <v>3</v>
      </c>
      <c r="I24" s="88">
        <v>1870</v>
      </c>
      <c r="J24" s="88">
        <v>2908</v>
      </c>
      <c r="K24" s="88">
        <v>2350</v>
      </c>
      <c r="L24" s="88"/>
      <c r="M24" s="88">
        <v>2550</v>
      </c>
      <c r="N24" s="88">
        <v>3550</v>
      </c>
      <c r="O24" s="88">
        <v>2800</v>
      </c>
      <c r="P24" s="88" t="s">
        <v>119</v>
      </c>
      <c r="Q24" s="88">
        <v>2121</v>
      </c>
      <c r="R24" s="88"/>
      <c r="S24" s="209"/>
      <c r="T24"/>
      <c r="U24"/>
      <c r="V24"/>
      <c r="W24"/>
      <c r="X24"/>
      <c r="Y24"/>
      <c r="Z24"/>
    </row>
    <row r="25" spans="1:26" ht="24" customHeight="1">
      <c r="A25" s="78" t="s">
        <v>544</v>
      </c>
      <c r="B25" s="83" t="s">
        <v>543</v>
      </c>
      <c r="C25" s="83" t="s">
        <v>46</v>
      </c>
      <c r="D25" s="83" t="s">
        <v>39</v>
      </c>
      <c r="E25" s="83" t="s">
        <v>40</v>
      </c>
      <c r="F25" s="83" t="s">
        <v>540</v>
      </c>
      <c r="G25" s="83" t="s">
        <v>530</v>
      </c>
      <c r="H25" s="68">
        <v>3</v>
      </c>
      <c r="I25" s="88">
        <v>1360</v>
      </c>
      <c r="J25" s="88">
        <v>2250</v>
      </c>
      <c r="K25" s="88"/>
      <c r="L25" s="88"/>
      <c r="M25" s="88"/>
      <c r="N25" s="88">
        <v>2225</v>
      </c>
      <c r="O25" s="88">
        <v>3900</v>
      </c>
      <c r="P25" s="88" t="s">
        <v>119</v>
      </c>
      <c r="Q25" s="88"/>
      <c r="R25" s="88"/>
      <c r="S25" s="209"/>
      <c r="T25"/>
      <c r="U25"/>
      <c r="V25"/>
      <c r="W25"/>
      <c r="X25"/>
      <c r="Y25"/>
      <c r="Z25"/>
    </row>
    <row r="26" spans="1:26" ht="22" customHeight="1">
      <c r="A26" s="234" t="s">
        <v>545</v>
      </c>
      <c r="B26" s="235"/>
      <c r="C26" s="235"/>
      <c r="D26" s="235"/>
      <c r="E26" s="235"/>
      <c r="F26" s="235"/>
      <c r="G26" s="235"/>
      <c r="H26" s="275"/>
      <c r="I26" s="276"/>
      <c r="J26" s="276"/>
      <c r="K26" s="276"/>
      <c r="L26" s="276"/>
      <c r="M26" s="276"/>
      <c r="N26" s="276"/>
      <c r="O26" s="276"/>
      <c r="P26" s="276"/>
      <c r="Q26" s="276"/>
      <c r="R26" s="276"/>
      <c r="S26" s="277"/>
      <c r="T26"/>
      <c r="U26"/>
      <c r="V26"/>
      <c r="W26"/>
      <c r="X26"/>
      <c r="Y26"/>
      <c r="Z26"/>
    </row>
    <row r="27" spans="1:26" ht="24" customHeight="1">
      <c r="A27" s="79" t="s">
        <v>532</v>
      </c>
      <c r="B27" s="84" t="s">
        <v>380</v>
      </c>
      <c r="C27" s="84" t="s">
        <v>17</v>
      </c>
      <c r="D27" s="84" t="s">
        <v>35</v>
      </c>
      <c r="E27" s="84" t="s">
        <v>36</v>
      </c>
      <c r="F27" s="84" t="s">
        <v>138</v>
      </c>
      <c r="G27" s="84" t="s">
        <v>530</v>
      </c>
      <c r="H27" s="69">
        <v>3</v>
      </c>
      <c r="I27" s="89">
        <v>5110</v>
      </c>
      <c r="J27" s="89">
        <v>6108</v>
      </c>
      <c r="K27" s="89"/>
      <c r="L27" s="89"/>
      <c r="M27" s="89">
        <v>6026</v>
      </c>
      <c r="N27" s="89">
        <v>5560</v>
      </c>
      <c r="O27" s="89">
        <v>5700</v>
      </c>
      <c r="P27" s="89" t="s">
        <v>119</v>
      </c>
      <c r="Q27" s="89">
        <v>5315</v>
      </c>
      <c r="R27" s="89"/>
      <c r="S27" s="210"/>
      <c r="T27"/>
      <c r="U27"/>
      <c r="V27"/>
      <c r="W27"/>
      <c r="X27"/>
      <c r="Y27"/>
      <c r="Z27"/>
    </row>
    <row r="28" spans="1:26" ht="24" customHeight="1">
      <c r="A28" s="79" t="s">
        <v>533</v>
      </c>
      <c r="B28" s="84" t="s">
        <v>380</v>
      </c>
      <c r="C28" s="84" t="s">
        <v>125</v>
      </c>
      <c r="D28" s="84" t="s">
        <v>35</v>
      </c>
      <c r="E28" s="84" t="s">
        <v>36</v>
      </c>
      <c r="F28" s="84" t="s">
        <v>138</v>
      </c>
      <c r="G28" s="84" t="s">
        <v>530</v>
      </c>
      <c r="H28" s="69">
        <v>1</v>
      </c>
      <c r="I28" s="89">
        <v>5330</v>
      </c>
      <c r="J28" s="89">
        <v>4540</v>
      </c>
      <c r="K28" s="89"/>
      <c r="L28" s="89"/>
      <c r="M28" s="89"/>
      <c r="N28" s="89">
        <v>5500</v>
      </c>
      <c r="O28" s="89">
        <v>5700</v>
      </c>
      <c r="P28" s="89" t="s">
        <v>119</v>
      </c>
      <c r="Q28" s="89"/>
      <c r="R28" s="89"/>
      <c r="S28" s="210"/>
      <c r="T28"/>
      <c r="U28"/>
      <c r="V28"/>
      <c r="W28"/>
      <c r="X28"/>
      <c r="Y28"/>
      <c r="Z28"/>
    </row>
    <row r="29" spans="1:26" ht="24" customHeight="1">
      <c r="A29" s="211"/>
      <c r="B29" s="212"/>
      <c r="C29" s="212"/>
      <c r="D29" s="212"/>
      <c r="E29" s="212"/>
      <c r="F29" s="212"/>
      <c r="G29" s="212"/>
      <c r="H29" s="213"/>
      <c r="I29" s="214"/>
      <c r="J29" s="214"/>
      <c r="K29" s="214"/>
      <c r="L29" s="214"/>
      <c r="M29" s="214"/>
      <c r="N29" s="214"/>
      <c r="O29" s="214"/>
      <c r="P29" s="214"/>
      <c r="Q29" s="214"/>
      <c r="R29" s="214"/>
      <c r="S29" s="215"/>
      <c r="T29"/>
      <c r="U29"/>
      <c r="V29"/>
      <c r="W29"/>
      <c r="X29"/>
      <c r="Y29"/>
      <c r="Z29"/>
    </row>
    <row r="30" spans="1:26" ht="24" customHeight="1">
      <c r="A30" s="255" t="s">
        <v>546</v>
      </c>
      <c r="B30" s="256"/>
      <c r="C30" s="256"/>
      <c r="D30" s="256"/>
      <c r="E30" s="256"/>
      <c r="F30" s="256"/>
      <c r="G30" s="256"/>
      <c r="H30" s="257"/>
      <c r="I30" s="258"/>
      <c r="J30" s="258"/>
      <c r="K30" s="258"/>
      <c r="L30" s="258"/>
      <c r="M30" s="258"/>
      <c r="N30" s="258"/>
      <c r="O30" s="258"/>
      <c r="P30" s="258"/>
      <c r="Q30" s="258"/>
      <c r="R30" s="258"/>
      <c r="S30" s="259"/>
      <c r="T30"/>
      <c r="U30"/>
      <c r="V30"/>
      <c r="W30"/>
      <c r="X30"/>
      <c r="Y30"/>
      <c r="Z30"/>
    </row>
    <row r="31" spans="1:26" ht="24" customHeight="1" thickBot="1">
      <c r="A31" s="229" t="s">
        <v>1</v>
      </c>
      <c r="B31" s="230" t="s">
        <v>2</v>
      </c>
      <c r="C31" s="230" t="s">
        <v>254</v>
      </c>
      <c r="D31" s="230" t="s">
        <v>255</v>
      </c>
      <c r="E31" s="230" t="s">
        <v>136</v>
      </c>
      <c r="F31" s="230" t="s">
        <v>512</v>
      </c>
      <c r="G31" s="230" t="s">
        <v>527</v>
      </c>
      <c r="H31" s="231" t="s">
        <v>528</v>
      </c>
      <c r="I31" s="232" t="s">
        <v>132</v>
      </c>
      <c r="J31" s="232" t="s">
        <v>121</v>
      </c>
      <c r="K31" s="232" t="s">
        <v>514</v>
      </c>
      <c r="L31" s="232" t="s">
        <v>129</v>
      </c>
      <c r="M31" s="232" t="s">
        <v>515</v>
      </c>
      <c r="N31" s="232" t="s">
        <v>516</v>
      </c>
      <c r="O31" s="232" t="s">
        <v>131</v>
      </c>
      <c r="P31" s="232" t="s">
        <v>517</v>
      </c>
      <c r="Q31" s="232" t="s">
        <v>518</v>
      </c>
      <c r="R31" s="232" t="s">
        <v>519</v>
      </c>
      <c r="S31" s="233" t="s">
        <v>520</v>
      </c>
      <c r="T31"/>
      <c r="U31"/>
      <c r="V31"/>
      <c r="W31"/>
      <c r="X31"/>
      <c r="Y31"/>
      <c r="Z31"/>
    </row>
    <row r="32" spans="1:26" s="31" customFormat="1" ht="22" customHeight="1">
      <c r="A32" s="237" t="s">
        <v>529</v>
      </c>
      <c r="B32" s="238"/>
      <c r="C32" s="238"/>
      <c r="D32" s="238"/>
      <c r="E32" s="238"/>
      <c r="F32" s="238"/>
      <c r="G32" s="238"/>
      <c r="H32" s="260"/>
      <c r="I32" s="261"/>
      <c r="J32" s="261"/>
      <c r="K32" s="261"/>
      <c r="L32" s="261"/>
      <c r="M32" s="261"/>
      <c r="N32" s="261"/>
      <c r="O32" s="261"/>
      <c r="P32" s="261"/>
      <c r="Q32" s="261"/>
      <c r="R32" s="261"/>
      <c r="S32" s="262"/>
      <c r="T32"/>
      <c r="U32"/>
      <c r="V32"/>
      <c r="W32"/>
      <c r="X32"/>
      <c r="Y32"/>
      <c r="Z32"/>
    </row>
    <row r="33" spans="1:26" s="31" customFormat="1" ht="24" customHeight="1">
      <c r="A33" s="154" t="s">
        <v>270</v>
      </c>
      <c r="B33" s="155" t="s">
        <v>449</v>
      </c>
      <c r="C33" s="155" t="s">
        <v>17</v>
      </c>
      <c r="D33" s="155" t="s">
        <v>31</v>
      </c>
      <c r="E33" s="155" t="s">
        <v>32</v>
      </c>
      <c r="F33" s="155"/>
      <c r="G33" s="155" t="s">
        <v>530</v>
      </c>
      <c r="H33" s="156">
        <v>15</v>
      </c>
      <c r="I33" s="157">
        <v>3200</v>
      </c>
      <c r="J33" s="157">
        <v>4950</v>
      </c>
      <c r="K33" s="157"/>
      <c r="L33" s="157">
        <v>4475</v>
      </c>
      <c r="M33" s="157">
        <v>4150</v>
      </c>
      <c r="N33" s="157">
        <v>3700</v>
      </c>
      <c r="O33" s="157">
        <v>4550</v>
      </c>
      <c r="P33" s="157" t="s">
        <v>119</v>
      </c>
      <c r="Q33" s="157">
        <v>4200</v>
      </c>
      <c r="R33" s="157"/>
      <c r="S33" s="205"/>
      <c r="T33"/>
      <c r="U33"/>
      <c r="V33"/>
      <c r="W33"/>
      <c r="X33"/>
      <c r="Y33"/>
      <c r="Z33"/>
    </row>
    <row r="34" spans="1:26" ht="22" customHeight="1">
      <c r="A34" s="240" t="s">
        <v>531</v>
      </c>
      <c r="B34" s="241"/>
      <c r="C34" s="241"/>
      <c r="D34" s="241"/>
      <c r="E34" s="241"/>
      <c r="F34" s="241"/>
      <c r="G34" s="241"/>
      <c r="H34" s="263"/>
      <c r="I34" s="264"/>
      <c r="J34" s="264"/>
      <c r="K34" s="264"/>
      <c r="L34" s="264"/>
      <c r="M34" s="264"/>
      <c r="N34" s="264"/>
      <c r="O34" s="264"/>
      <c r="P34" s="264"/>
      <c r="Q34" s="264"/>
      <c r="R34" s="264"/>
      <c r="S34" s="265"/>
      <c r="T34"/>
      <c r="U34"/>
      <c r="V34"/>
      <c r="W34"/>
      <c r="X34"/>
      <c r="Y34"/>
      <c r="Z34"/>
    </row>
    <row r="35" spans="1:26" ht="24" customHeight="1">
      <c r="A35" s="76" t="s">
        <v>373</v>
      </c>
      <c r="B35" s="81" t="s">
        <v>450</v>
      </c>
      <c r="C35" s="81" t="s">
        <v>26</v>
      </c>
      <c r="D35" s="81" t="s">
        <v>105</v>
      </c>
      <c r="E35" s="81" t="s">
        <v>53</v>
      </c>
      <c r="F35" s="81"/>
      <c r="G35" s="81" t="s">
        <v>230</v>
      </c>
      <c r="H35" s="66">
        <v>3</v>
      </c>
      <c r="I35" s="86">
        <v>2000</v>
      </c>
      <c r="J35" s="86">
        <v>2860</v>
      </c>
      <c r="K35" s="86">
        <v>2750</v>
      </c>
      <c r="L35" s="86"/>
      <c r="M35" s="86"/>
      <c r="N35" s="86">
        <v>1800</v>
      </c>
      <c r="O35" s="86">
        <v>2465</v>
      </c>
      <c r="P35" s="86" t="s">
        <v>119</v>
      </c>
      <c r="Q35" s="86"/>
      <c r="R35" s="86"/>
      <c r="S35" s="206"/>
      <c r="T35"/>
      <c r="U35"/>
      <c r="V35"/>
      <c r="W35"/>
      <c r="X35"/>
      <c r="Y35"/>
      <c r="Z35"/>
    </row>
    <row r="36" spans="1:26" ht="24" customHeight="1">
      <c r="A36" s="76" t="s">
        <v>375</v>
      </c>
      <c r="B36" s="81" t="s">
        <v>450</v>
      </c>
      <c r="C36" s="81" t="s">
        <v>56</v>
      </c>
      <c r="D36" s="81" t="s">
        <v>105</v>
      </c>
      <c r="E36" s="81" t="s">
        <v>53</v>
      </c>
      <c r="F36" s="81"/>
      <c r="G36" s="81" t="s">
        <v>230</v>
      </c>
      <c r="H36" s="66">
        <v>19</v>
      </c>
      <c r="I36" s="86">
        <v>1900</v>
      </c>
      <c r="J36" s="86">
        <v>2860</v>
      </c>
      <c r="K36" s="86">
        <v>2750</v>
      </c>
      <c r="L36" s="86"/>
      <c r="M36" s="86"/>
      <c r="N36" s="86">
        <v>1800</v>
      </c>
      <c r="O36" s="86">
        <v>2685</v>
      </c>
      <c r="P36" s="86" t="s">
        <v>119</v>
      </c>
      <c r="Q36" s="86"/>
      <c r="R36" s="86"/>
      <c r="S36" s="206"/>
      <c r="T36"/>
      <c r="U36"/>
      <c r="V36"/>
      <c r="W36"/>
      <c r="X36"/>
      <c r="Y36"/>
      <c r="Z36"/>
    </row>
    <row r="37" spans="1:26" ht="24" customHeight="1">
      <c r="A37" s="76" t="s">
        <v>532</v>
      </c>
      <c r="B37" s="81" t="s">
        <v>450</v>
      </c>
      <c r="C37" s="81" t="s">
        <v>17</v>
      </c>
      <c r="D37" s="81" t="s">
        <v>105</v>
      </c>
      <c r="E37" s="81" t="s">
        <v>53</v>
      </c>
      <c r="F37" s="81"/>
      <c r="G37" s="81" t="s">
        <v>230</v>
      </c>
      <c r="H37" s="66">
        <v>21</v>
      </c>
      <c r="I37" s="86">
        <v>1700</v>
      </c>
      <c r="J37" s="86">
        <v>2420</v>
      </c>
      <c r="K37" s="86">
        <v>1650</v>
      </c>
      <c r="L37" s="86">
        <v>3200</v>
      </c>
      <c r="M37" s="86">
        <v>2500</v>
      </c>
      <c r="N37" s="86">
        <v>1500</v>
      </c>
      <c r="O37" s="86">
        <v>2750</v>
      </c>
      <c r="P37" s="86">
        <v>1900</v>
      </c>
      <c r="Q37" s="86">
        <v>1300</v>
      </c>
      <c r="R37" s="86"/>
      <c r="S37" s="206"/>
      <c r="T37"/>
      <c r="U37"/>
      <c r="V37"/>
      <c r="W37"/>
      <c r="X37"/>
      <c r="Y37"/>
      <c r="Z37"/>
    </row>
    <row r="38" spans="1:26" ht="24" customHeight="1">
      <c r="A38" s="76" t="s">
        <v>533</v>
      </c>
      <c r="B38" s="81" t="s">
        <v>450</v>
      </c>
      <c r="C38" s="81" t="s">
        <v>29</v>
      </c>
      <c r="D38" s="81" t="s">
        <v>105</v>
      </c>
      <c r="E38" s="81" t="s">
        <v>53</v>
      </c>
      <c r="F38" s="81"/>
      <c r="G38" s="81" t="s">
        <v>230</v>
      </c>
      <c r="H38" s="66">
        <v>18</v>
      </c>
      <c r="I38" s="86">
        <v>2200</v>
      </c>
      <c r="J38" s="86">
        <v>3080</v>
      </c>
      <c r="K38" s="86">
        <v>2650</v>
      </c>
      <c r="L38" s="86"/>
      <c r="M38" s="86"/>
      <c r="N38" s="86">
        <v>2200</v>
      </c>
      <c r="O38" s="86">
        <v>3550</v>
      </c>
      <c r="P38" s="86" t="s">
        <v>119</v>
      </c>
      <c r="Q38" s="86"/>
      <c r="R38" s="86"/>
      <c r="S38" s="206"/>
      <c r="T38"/>
      <c r="U38"/>
      <c r="V38"/>
      <c r="W38"/>
      <c r="X38"/>
      <c r="Y38"/>
      <c r="Z38"/>
    </row>
    <row r="39" spans="1:26" ht="24" customHeight="1">
      <c r="A39" s="76" t="s">
        <v>86</v>
      </c>
      <c r="B39" s="81" t="s">
        <v>450</v>
      </c>
      <c r="C39" s="81" t="s">
        <v>59</v>
      </c>
      <c r="D39" s="81" t="s">
        <v>105</v>
      </c>
      <c r="E39" s="81" t="s">
        <v>53</v>
      </c>
      <c r="F39" s="81"/>
      <c r="G39" s="81" t="s">
        <v>230</v>
      </c>
      <c r="H39" s="66">
        <v>12</v>
      </c>
      <c r="I39" s="86">
        <v>1700</v>
      </c>
      <c r="J39" s="86">
        <v>2530</v>
      </c>
      <c r="K39" s="86">
        <v>1650</v>
      </c>
      <c r="L39" s="86"/>
      <c r="M39" s="86">
        <v>3000</v>
      </c>
      <c r="N39" s="86">
        <v>1650</v>
      </c>
      <c r="O39" s="86">
        <v>3330</v>
      </c>
      <c r="P39" s="86" t="s">
        <v>119</v>
      </c>
      <c r="Q39" s="86">
        <v>1300</v>
      </c>
      <c r="R39" s="86"/>
      <c r="S39" s="206"/>
      <c r="T39"/>
      <c r="U39"/>
      <c r="V39"/>
      <c r="W39"/>
      <c r="X39"/>
      <c r="Y39"/>
      <c r="Z39"/>
    </row>
    <row r="40" spans="1:26" ht="22" customHeight="1">
      <c r="A40" s="243" t="s">
        <v>534</v>
      </c>
      <c r="B40" s="244"/>
      <c r="C40" s="244"/>
      <c r="D40" s="244"/>
      <c r="E40" s="244"/>
      <c r="F40" s="244"/>
      <c r="G40" s="244"/>
      <c r="H40" s="266"/>
      <c r="I40" s="267"/>
      <c r="J40" s="267"/>
      <c r="K40" s="267"/>
      <c r="L40" s="267"/>
      <c r="M40" s="267"/>
      <c r="N40" s="267"/>
      <c r="O40" s="267"/>
      <c r="P40" s="267"/>
      <c r="Q40" s="267"/>
      <c r="R40" s="267"/>
      <c r="S40" s="268"/>
      <c r="T40"/>
      <c r="U40"/>
      <c r="V40"/>
      <c r="W40"/>
      <c r="X40"/>
      <c r="Y40"/>
      <c r="Z40"/>
    </row>
    <row r="41" spans="1:26" ht="24" customHeight="1">
      <c r="A41" s="77" t="s">
        <v>532</v>
      </c>
      <c r="B41" s="82" t="s">
        <v>465</v>
      </c>
      <c r="C41" s="82" t="s">
        <v>17</v>
      </c>
      <c r="D41" s="82" t="s">
        <v>18</v>
      </c>
      <c r="E41" s="82" t="s">
        <v>535</v>
      </c>
      <c r="F41" s="82"/>
      <c r="G41" s="82" t="s">
        <v>530</v>
      </c>
      <c r="H41" s="67">
        <v>6</v>
      </c>
      <c r="I41" s="87">
        <v>3725</v>
      </c>
      <c r="J41" s="87">
        <v>4885</v>
      </c>
      <c r="K41" s="87">
        <v>2700</v>
      </c>
      <c r="L41" s="87">
        <v>3550</v>
      </c>
      <c r="M41" s="87">
        <v>4100</v>
      </c>
      <c r="N41" s="87">
        <v>2900</v>
      </c>
      <c r="O41" s="87">
        <v>4260</v>
      </c>
      <c r="P41" s="87">
        <v>2600</v>
      </c>
      <c r="Q41" s="87">
        <v>2700</v>
      </c>
      <c r="R41" s="87">
        <v>2900</v>
      </c>
      <c r="S41" s="207"/>
      <c r="T41"/>
      <c r="U41"/>
      <c r="V41"/>
      <c r="W41"/>
      <c r="X41"/>
      <c r="Y41"/>
      <c r="Z41"/>
    </row>
    <row r="42" spans="1:26" ht="24" customHeight="1">
      <c r="A42" s="77" t="s">
        <v>536</v>
      </c>
      <c r="B42" s="82" t="s">
        <v>537</v>
      </c>
      <c r="C42" s="82" t="s">
        <v>17</v>
      </c>
      <c r="D42" s="82" t="s">
        <v>23</v>
      </c>
      <c r="E42" s="82" t="s">
        <v>535</v>
      </c>
      <c r="F42" s="82"/>
      <c r="G42" s="82" t="s">
        <v>530</v>
      </c>
      <c r="H42" s="67">
        <v>6</v>
      </c>
      <c r="I42" s="87">
        <v>4500</v>
      </c>
      <c r="J42" s="87">
        <v>4576</v>
      </c>
      <c r="K42" s="87">
        <v>4350</v>
      </c>
      <c r="L42" s="87">
        <v>5400</v>
      </c>
      <c r="M42" s="87">
        <v>5600</v>
      </c>
      <c r="N42" s="87">
        <v>4200</v>
      </c>
      <c r="O42" s="87">
        <v>5725</v>
      </c>
      <c r="P42" s="87">
        <v>3100</v>
      </c>
      <c r="Q42" s="87">
        <v>5000</v>
      </c>
      <c r="R42" s="87">
        <v>4669</v>
      </c>
      <c r="S42" s="207"/>
      <c r="T42"/>
      <c r="U42"/>
      <c r="V42"/>
      <c r="W42"/>
      <c r="X42"/>
      <c r="Y42"/>
      <c r="Z42"/>
    </row>
    <row r="43" spans="1:26" ht="24" customHeight="1">
      <c r="A43" s="77" t="s">
        <v>373</v>
      </c>
      <c r="B43" s="82" t="s">
        <v>374</v>
      </c>
      <c r="C43" s="82" t="s">
        <v>26</v>
      </c>
      <c r="D43" s="82" t="s">
        <v>27</v>
      </c>
      <c r="E43" s="82" t="s">
        <v>535</v>
      </c>
      <c r="F43" s="82"/>
      <c r="G43" s="82" t="s">
        <v>530</v>
      </c>
      <c r="H43" s="67">
        <v>10</v>
      </c>
      <c r="I43" s="87">
        <v>3525</v>
      </c>
      <c r="J43" s="87">
        <v>2130</v>
      </c>
      <c r="K43" s="87">
        <v>2950</v>
      </c>
      <c r="L43" s="87"/>
      <c r="M43" s="87"/>
      <c r="N43" s="87">
        <v>2800</v>
      </c>
      <c r="O43" s="87">
        <v>4165</v>
      </c>
      <c r="P43" s="87" t="s">
        <v>119</v>
      </c>
      <c r="Q43" s="87"/>
      <c r="R43" s="87"/>
      <c r="S43" s="207"/>
      <c r="T43"/>
      <c r="U43"/>
      <c r="V43"/>
      <c r="W43"/>
      <c r="X43"/>
      <c r="Y43"/>
      <c r="Z43"/>
    </row>
    <row r="44" spans="1:26" ht="24" customHeight="1">
      <c r="A44" s="77" t="s">
        <v>532</v>
      </c>
      <c r="B44" s="82" t="s">
        <v>374</v>
      </c>
      <c r="C44" s="82" t="s">
        <v>17</v>
      </c>
      <c r="D44" s="82" t="s">
        <v>27</v>
      </c>
      <c r="E44" s="82" t="s">
        <v>535</v>
      </c>
      <c r="F44" s="82"/>
      <c r="G44" s="82" t="s">
        <v>530</v>
      </c>
      <c r="H44" s="67">
        <v>8</v>
      </c>
      <c r="I44" s="87">
        <v>3525</v>
      </c>
      <c r="J44" s="87">
        <v>2970</v>
      </c>
      <c r="K44" s="87">
        <v>2700</v>
      </c>
      <c r="L44" s="87">
        <v>3700</v>
      </c>
      <c r="M44" s="87">
        <v>4100</v>
      </c>
      <c r="N44" s="87">
        <v>2800</v>
      </c>
      <c r="O44" s="87">
        <v>3750</v>
      </c>
      <c r="P44" s="87">
        <v>2400</v>
      </c>
      <c r="Q44" s="87">
        <v>2700</v>
      </c>
      <c r="R44" s="87">
        <v>2900</v>
      </c>
      <c r="S44" s="207"/>
      <c r="T44"/>
      <c r="U44"/>
      <c r="V44"/>
      <c r="W44"/>
      <c r="X44"/>
      <c r="Y44"/>
      <c r="Z44"/>
    </row>
    <row r="45" spans="1:26" ht="22" customHeight="1">
      <c r="A45" s="246" t="s">
        <v>538</v>
      </c>
      <c r="B45" s="247"/>
      <c r="C45" s="247"/>
      <c r="D45" s="247"/>
      <c r="E45" s="247"/>
      <c r="F45" s="247"/>
      <c r="G45" s="247"/>
      <c r="H45" s="269"/>
      <c r="I45" s="270"/>
      <c r="J45" s="270"/>
      <c r="K45" s="270"/>
      <c r="L45" s="270"/>
      <c r="M45" s="270"/>
      <c r="N45" s="270"/>
      <c r="O45" s="270"/>
      <c r="P45" s="270"/>
      <c r="Q45" s="270"/>
      <c r="R45" s="270"/>
      <c r="S45" s="271"/>
      <c r="T45"/>
      <c r="U45"/>
      <c r="V45"/>
      <c r="W45"/>
      <c r="X45"/>
      <c r="Y45"/>
      <c r="Z45"/>
    </row>
    <row r="46" spans="1:26" ht="24" customHeight="1">
      <c r="A46" s="162" t="s">
        <v>375</v>
      </c>
      <c r="B46" s="163" t="s">
        <v>532</v>
      </c>
      <c r="C46" s="163" t="s">
        <v>39</v>
      </c>
      <c r="D46" s="163" t="s">
        <v>17</v>
      </c>
      <c r="E46" s="163" t="s">
        <v>48</v>
      </c>
      <c r="F46" s="163"/>
      <c r="G46" s="163" t="s">
        <v>530</v>
      </c>
      <c r="H46" s="164">
        <v>15</v>
      </c>
      <c r="I46" s="165">
        <v>140</v>
      </c>
      <c r="J46" s="165">
        <v>565</v>
      </c>
      <c r="K46" s="165">
        <v>100</v>
      </c>
      <c r="L46" s="165"/>
      <c r="M46" s="165"/>
      <c r="N46" s="165">
        <v>300</v>
      </c>
      <c r="O46" s="165">
        <v>280</v>
      </c>
      <c r="P46" s="165" t="s">
        <v>119</v>
      </c>
      <c r="Q46" s="165"/>
      <c r="R46" s="165"/>
      <c r="S46" s="208"/>
      <c r="T46"/>
      <c r="U46"/>
      <c r="V46"/>
      <c r="W46"/>
      <c r="X46"/>
      <c r="Y46"/>
      <c r="Z46"/>
    </row>
    <row r="47" spans="1:26" ht="24" customHeight="1">
      <c r="A47" s="162" t="s">
        <v>376</v>
      </c>
      <c r="B47" s="163" t="s">
        <v>532</v>
      </c>
      <c r="C47" s="163" t="s">
        <v>334</v>
      </c>
      <c r="D47" s="163" t="s">
        <v>17</v>
      </c>
      <c r="E47" s="163" t="s">
        <v>48</v>
      </c>
      <c r="F47" s="163"/>
      <c r="G47" s="163" t="s">
        <v>530</v>
      </c>
      <c r="H47" s="164">
        <v>7</v>
      </c>
      <c r="I47" s="165">
        <v>210</v>
      </c>
      <c r="J47" s="165">
        <v>100</v>
      </c>
      <c r="K47" s="165">
        <v>150</v>
      </c>
      <c r="L47" s="165"/>
      <c r="M47" s="165"/>
      <c r="N47" s="165">
        <v>150</v>
      </c>
      <c r="O47" s="165">
        <v>330</v>
      </c>
      <c r="P47" s="165" t="s">
        <v>119</v>
      </c>
      <c r="Q47" s="165"/>
      <c r="R47" s="165"/>
      <c r="S47" s="208"/>
      <c r="T47"/>
      <c r="U47"/>
      <c r="V47"/>
      <c r="W47"/>
      <c r="X47"/>
      <c r="Y47"/>
      <c r="Z47"/>
    </row>
    <row r="48" spans="1:26" ht="24" customHeight="1">
      <c r="A48" s="162" t="s">
        <v>532</v>
      </c>
      <c r="B48" s="163" t="s">
        <v>449</v>
      </c>
      <c r="C48" s="163" t="s">
        <v>17</v>
      </c>
      <c r="D48" s="163" t="s">
        <v>31</v>
      </c>
      <c r="E48" s="163" t="s">
        <v>48</v>
      </c>
      <c r="F48" s="163"/>
      <c r="G48" s="163" t="s">
        <v>530</v>
      </c>
      <c r="H48" s="164">
        <v>45</v>
      </c>
      <c r="I48" s="165">
        <v>3200</v>
      </c>
      <c r="J48" s="165">
        <v>3850</v>
      </c>
      <c r="K48" s="165"/>
      <c r="L48" s="165">
        <v>3400</v>
      </c>
      <c r="M48" s="165">
        <v>4150</v>
      </c>
      <c r="N48" s="165">
        <v>2700</v>
      </c>
      <c r="O48" s="165">
        <v>3100</v>
      </c>
      <c r="P48" s="165" t="s">
        <v>119</v>
      </c>
      <c r="Q48" s="165">
        <v>3100</v>
      </c>
      <c r="R48" s="165"/>
      <c r="S48" s="208"/>
      <c r="T48"/>
      <c r="U48"/>
      <c r="V48"/>
      <c r="W48"/>
      <c r="X48"/>
      <c r="Y48"/>
      <c r="Z48"/>
    </row>
    <row r="49" spans="1:26" ht="22" customHeight="1">
      <c r="A49" s="249" t="s">
        <v>539</v>
      </c>
      <c r="B49" s="250"/>
      <c r="C49" s="250"/>
      <c r="D49" s="250"/>
      <c r="E49" s="250"/>
      <c r="F49" s="250"/>
      <c r="G49" s="250"/>
      <c r="H49" s="272"/>
      <c r="I49" s="273"/>
      <c r="J49" s="273"/>
      <c r="K49" s="273"/>
      <c r="L49" s="273"/>
      <c r="M49" s="273"/>
      <c r="N49" s="273"/>
      <c r="O49" s="273"/>
      <c r="P49" s="273"/>
      <c r="Q49" s="273"/>
      <c r="R49" s="273"/>
      <c r="S49" s="274"/>
      <c r="T49"/>
      <c r="U49"/>
      <c r="V49"/>
      <c r="W49"/>
      <c r="X49"/>
      <c r="Y49"/>
      <c r="Z49"/>
    </row>
    <row r="50" spans="1:26" ht="24" customHeight="1">
      <c r="A50" s="78" t="s">
        <v>373</v>
      </c>
      <c r="B50" s="83" t="s">
        <v>380</v>
      </c>
      <c r="C50" s="83" t="s">
        <v>26</v>
      </c>
      <c r="D50" s="83" t="s">
        <v>35</v>
      </c>
      <c r="E50" s="83" t="s">
        <v>40</v>
      </c>
      <c r="F50" s="83"/>
      <c r="G50" s="83" t="s">
        <v>530</v>
      </c>
      <c r="H50" s="68">
        <v>4</v>
      </c>
      <c r="I50" s="88">
        <v>2590</v>
      </c>
      <c r="J50" s="88">
        <v>4150</v>
      </c>
      <c r="K50" s="88">
        <v>3700</v>
      </c>
      <c r="L50" s="88"/>
      <c r="M50" s="88"/>
      <c r="N50" s="88">
        <v>5900</v>
      </c>
      <c r="O50" s="88">
        <v>4000</v>
      </c>
      <c r="P50" s="88" t="s">
        <v>119</v>
      </c>
      <c r="Q50" s="88"/>
      <c r="R50" s="88"/>
      <c r="S50" s="209"/>
      <c r="T50"/>
      <c r="U50"/>
      <c r="V50"/>
      <c r="W50"/>
      <c r="X50"/>
      <c r="Y50"/>
      <c r="Z50"/>
    </row>
    <row r="51" spans="1:26" ht="24" customHeight="1">
      <c r="A51" s="78" t="s">
        <v>536</v>
      </c>
      <c r="B51" s="83" t="s">
        <v>541</v>
      </c>
      <c r="C51" s="83" t="s">
        <v>17</v>
      </c>
      <c r="D51" s="83" t="s">
        <v>39</v>
      </c>
      <c r="E51" s="83" t="s">
        <v>40</v>
      </c>
      <c r="F51" s="83"/>
      <c r="G51" s="83" t="s">
        <v>530</v>
      </c>
      <c r="H51" s="68">
        <v>3</v>
      </c>
      <c r="I51" s="88">
        <v>800</v>
      </c>
      <c r="J51" s="88">
        <v>1683</v>
      </c>
      <c r="K51" s="88">
        <v>800</v>
      </c>
      <c r="L51" s="88"/>
      <c r="M51" s="88">
        <v>900</v>
      </c>
      <c r="N51" s="88">
        <v>850</v>
      </c>
      <c r="O51" s="88">
        <v>1230</v>
      </c>
      <c r="P51" s="88">
        <v>1100</v>
      </c>
      <c r="Q51" s="88">
        <v>850</v>
      </c>
      <c r="R51" s="88"/>
      <c r="S51" s="209"/>
      <c r="T51"/>
      <c r="U51"/>
      <c r="V51"/>
      <c r="W51"/>
      <c r="X51"/>
      <c r="Y51"/>
      <c r="Z51"/>
    </row>
    <row r="52" spans="1:26" ht="24" customHeight="1">
      <c r="A52" s="78" t="s">
        <v>542</v>
      </c>
      <c r="B52" s="83" t="s">
        <v>543</v>
      </c>
      <c r="C52" s="83" t="s">
        <v>17</v>
      </c>
      <c r="D52" s="83" t="s">
        <v>39</v>
      </c>
      <c r="E52" s="83" t="s">
        <v>40</v>
      </c>
      <c r="F52" s="83"/>
      <c r="G52" s="83" t="s">
        <v>530</v>
      </c>
      <c r="H52" s="68">
        <v>12</v>
      </c>
      <c r="I52" s="88">
        <v>800</v>
      </c>
      <c r="J52" s="88">
        <v>1683</v>
      </c>
      <c r="K52" s="88">
        <v>800</v>
      </c>
      <c r="L52" s="88"/>
      <c r="M52" s="88">
        <v>900</v>
      </c>
      <c r="N52" s="88">
        <v>850</v>
      </c>
      <c r="O52" s="88">
        <v>1210</v>
      </c>
      <c r="P52" s="88">
        <v>1100</v>
      </c>
      <c r="Q52" s="88">
        <v>850</v>
      </c>
      <c r="R52" s="88"/>
      <c r="S52" s="209"/>
      <c r="T52"/>
      <c r="U52"/>
      <c r="V52"/>
      <c r="W52"/>
      <c r="X52"/>
      <c r="Y52"/>
      <c r="Z52"/>
    </row>
    <row r="53" spans="1:26" ht="24" customHeight="1">
      <c r="A53" s="78" t="s">
        <v>276</v>
      </c>
      <c r="B53" s="83" t="s">
        <v>541</v>
      </c>
      <c r="C53" s="83" t="s">
        <v>44</v>
      </c>
      <c r="D53" s="83" t="s">
        <v>39</v>
      </c>
      <c r="E53" s="83" t="s">
        <v>40</v>
      </c>
      <c r="F53" s="83"/>
      <c r="G53" s="83" t="s">
        <v>530</v>
      </c>
      <c r="H53" s="68">
        <v>3</v>
      </c>
      <c r="I53" s="88">
        <v>800</v>
      </c>
      <c r="J53" s="88">
        <v>1683</v>
      </c>
      <c r="K53" s="88">
        <v>1100</v>
      </c>
      <c r="L53" s="88"/>
      <c r="M53" s="88">
        <v>900</v>
      </c>
      <c r="N53" s="88">
        <v>950</v>
      </c>
      <c r="O53" s="88">
        <v>1430</v>
      </c>
      <c r="P53" s="88" t="s">
        <v>119</v>
      </c>
      <c r="Q53" s="88">
        <v>850</v>
      </c>
      <c r="R53" s="88"/>
      <c r="S53" s="209"/>
      <c r="T53"/>
      <c r="U53"/>
      <c r="V53"/>
      <c r="W53"/>
      <c r="X53"/>
      <c r="Y53"/>
      <c r="Z53"/>
    </row>
    <row r="54" spans="1:26" ht="24" customHeight="1">
      <c r="A54" s="78" t="s">
        <v>544</v>
      </c>
      <c r="B54" s="83" t="s">
        <v>543</v>
      </c>
      <c r="C54" s="83" t="s">
        <v>46</v>
      </c>
      <c r="D54" s="83" t="s">
        <v>39</v>
      </c>
      <c r="E54" s="83" t="s">
        <v>40</v>
      </c>
      <c r="F54" s="83"/>
      <c r="G54" s="83" t="s">
        <v>530</v>
      </c>
      <c r="H54" s="68">
        <v>3</v>
      </c>
      <c r="I54" s="88">
        <v>180</v>
      </c>
      <c r="J54" s="88">
        <v>350</v>
      </c>
      <c r="K54" s="88"/>
      <c r="L54" s="88"/>
      <c r="M54" s="88"/>
      <c r="N54" s="88">
        <v>450</v>
      </c>
      <c r="O54" s="88">
        <v>1900</v>
      </c>
      <c r="P54" s="88" t="s">
        <v>119</v>
      </c>
      <c r="Q54" s="88"/>
      <c r="R54" s="88"/>
      <c r="S54" s="209"/>
      <c r="T54"/>
      <c r="U54"/>
      <c r="V54"/>
      <c r="W54"/>
      <c r="X54"/>
      <c r="Y54"/>
      <c r="Z54"/>
    </row>
    <row r="55" spans="1:26" ht="22" customHeight="1">
      <c r="A55" s="234" t="s">
        <v>545</v>
      </c>
      <c r="B55" s="235"/>
      <c r="C55" s="235"/>
      <c r="D55" s="235"/>
      <c r="E55" s="235"/>
      <c r="F55" s="235"/>
      <c r="G55" s="235"/>
      <c r="H55" s="275"/>
      <c r="I55" s="276"/>
      <c r="J55" s="276"/>
      <c r="K55" s="276"/>
      <c r="L55" s="276"/>
      <c r="M55" s="276"/>
      <c r="N55" s="276"/>
      <c r="O55" s="276"/>
      <c r="P55" s="276"/>
      <c r="Q55" s="276"/>
      <c r="R55" s="276"/>
      <c r="S55" s="277"/>
      <c r="T55"/>
      <c r="U55"/>
      <c r="V55"/>
      <c r="W55"/>
      <c r="X55"/>
      <c r="Y55"/>
      <c r="Z55"/>
    </row>
    <row r="56" spans="1:26" ht="24" customHeight="1">
      <c r="A56" s="216" t="s">
        <v>532</v>
      </c>
      <c r="B56" s="217" t="s">
        <v>380</v>
      </c>
      <c r="C56" s="217" t="s">
        <v>17</v>
      </c>
      <c r="D56" s="217" t="s">
        <v>35</v>
      </c>
      <c r="E56" s="217" t="s">
        <v>36</v>
      </c>
      <c r="F56" s="217"/>
      <c r="G56" s="217" t="s">
        <v>530</v>
      </c>
      <c r="H56" s="218">
        <v>3</v>
      </c>
      <c r="I56" s="219">
        <v>2290</v>
      </c>
      <c r="J56" s="219">
        <v>3705</v>
      </c>
      <c r="K56" s="219"/>
      <c r="L56" s="219"/>
      <c r="M56" s="219">
        <v>4200</v>
      </c>
      <c r="N56" s="219">
        <v>3100</v>
      </c>
      <c r="O56" s="219">
        <v>3325</v>
      </c>
      <c r="P56" s="219" t="s">
        <v>119</v>
      </c>
      <c r="Q56" s="219">
        <v>2400</v>
      </c>
      <c r="R56" s="219"/>
      <c r="S56" s="220"/>
    </row>
    <row r="57" spans="1:26" ht="24" customHeight="1" thickBot="1">
      <c r="A57" s="221" t="s">
        <v>533</v>
      </c>
      <c r="B57" s="222" t="s">
        <v>380</v>
      </c>
      <c r="C57" s="222" t="s">
        <v>125</v>
      </c>
      <c r="D57" s="222" t="s">
        <v>35</v>
      </c>
      <c r="E57" s="222" t="s">
        <v>36</v>
      </c>
      <c r="F57" s="222"/>
      <c r="G57" s="222" t="s">
        <v>530</v>
      </c>
      <c r="H57" s="223">
        <v>1</v>
      </c>
      <c r="I57" s="224">
        <v>1950</v>
      </c>
      <c r="J57" s="224">
        <v>2200</v>
      </c>
      <c r="K57" s="224"/>
      <c r="L57" s="224"/>
      <c r="M57" s="224"/>
      <c r="N57" s="224">
        <v>2900</v>
      </c>
      <c r="O57" s="224">
        <v>2510</v>
      </c>
      <c r="P57" s="224" t="s">
        <v>119</v>
      </c>
      <c r="Q57" s="224"/>
      <c r="R57" s="224"/>
      <c r="S57" s="225"/>
    </row>
  </sheetData>
  <protectedRanges>
    <protectedRange sqref="I4:V7 I24:V24 I19:T23 I10:V18 I28:V31 I34:V47" name="区域1"/>
    <protectedRange sqref="U19" name="区域1_1"/>
    <protectedRange sqref="U20" name="区域1_2"/>
    <protectedRange sqref="U21" name="区域1_3"/>
    <protectedRange sqref="U22" name="区域1_4"/>
    <protectedRange sqref="U23" name="区域1_5"/>
  </protectedRanges>
  <mergeCells count="14">
    <mergeCell ref="A55:S55"/>
    <mergeCell ref="A32:S32"/>
    <mergeCell ref="A34:S34"/>
    <mergeCell ref="A40:S40"/>
    <mergeCell ref="A45:S45"/>
    <mergeCell ref="A49:S49"/>
    <mergeCell ref="A1:S1"/>
    <mergeCell ref="A30:S30"/>
    <mergeCell ref="A3:S3"/>
    <mergeCell ref="A5:S5"/>
    <mergeCell ref="A11:S11"/>
    <mergeCell ref="A16:S16"/>
    <mergeCell ref="A20:S20"/>
    <mergeCell ref="A26:S26"/>
  </mergeCells>
  <phoneticPr fontId="1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40"/>
  <sheetViews>
    <sheetView topLeftCell="D1" zoomScale="90" zoomScaleNormal="90" workbookViewId="0">
      <pane ySplit="1" topLeftCell="A17" activePane="bottomLeft" state="frozen"/>
      <selection pane="bottomLeft" activeCell="D12" sqref="D12"/>
    </sheetView>
  </sheetViews>
  <sheetFormatPr baseColWidth="10" defaultColWidth="9" defaultRowHeight="11"/>
  <cols>
    <col min="1" max="1" width="21.6640625" style="1" customWidth="1"/>
    <col min="2" max="3" width="26.6640625" style="1" customWidth="1"/>
    <col min="4" max="5" width="11.6640625" style="1" customWidth="1"/>
    <col min="6" max="6" width="10" style="1" customWidth="1"/>
    <col min="7" max="7" width="10.83203125" style="1" customWidth="1"/>
    <col min="8" max="8" width="9.1640625" style="1" customWidth="1"/>
    <col min="9" max="9" width="8.33203125" style="1" customWidth="1"/>
    <col min="10" max="10" width="9.1640625" style="1" customWidth="1"/>
    <col min="11" max="12" width="10" style="1" customWidth="1"/>
    <col min="13" max="13" width="8.33203125" style="1" customWidth="1"/>
    <col min="14" max="14" width="12.5" style="1" customWidth="1"/>
    <col min="15" max="15" width="10.83203125" style="1" customWidth="1"/>
    <col min="16" max="16" width="11.6640625" style="1" customWidth="1"/>
    <col min="17" max="18" width="13.33203125" style="1" customWidth="1"/>
    <col min="19" max="19" width="14.1640625" style="1" customWidth="1"/>
    <col min="20" max="20" width="37.6640625" style="1" customWidth="1"/>
    <col min="21" max="21" width="44" style="2" customWidth="1"/>
    <col min="22" max="22" width="9" style="1" customWidth="1"/>
    <col min="23" max="16384" width="9" style="1"/>
  </cols>
  <sheetData>
    <row r="1" spans="1:26" ht="20" customHeight="1" thickBot="1">
      <c r="A1" s="176" t="s">
        <v>253</v>
      </c>
      <c r="B1" s="177" t="s">
        <v>1</v>
      </c>
      <c r="C1" s="177" t="s">
        <v>2</v>
      </c>
      <c r="D1" s="177" t="s">
        <v>254</v>
      </c>
      <c r="E1" s="177" t="s">
        <v>255</v>
      </c>
      <c r="F1" s="177" t="s">
        <v>190</v>
      </c>
      <c r="G1" s="177" t="s">
        <v>448</v>
      </c>
      <c r="H1" s="177" t="s">
        <v>256</v>
      </c>
      <c r="I1" s="177" t="s">
        <v>257</v>
      </c>
      <c r="J1" s="177" t="s">
        <v>258</v>
      </c>
      <c r="K1" s="177" t="s">
        <v>259</v>
      </c>
      <c r="L1" s="177" t="s">
        <v>260</v>
      </c>
      <c r="M1" s="177" t="s">
        <v>261</v>
      </c>
      <c r="N1" s="177" t="s">
        <v>291</v>
      </c>
      <c r="O1" s="177" t="s">
        <v>292</v>
      </c>
      <c r="P1" s="178" t="s">
        <v>262</v>
      </c>
      <c r="Q1" s="177" t="s">
        <v>263</v>
      </c>
      <c r="R1" s="177" t="s">
        <v>264</v>
      </c>
      <c r="S1" s="179" t="s">
        <v>293</v>
      </c>
      <c r="T1"/>
      <c r="U1"/>
      <c r="V1"/>
      <c r="W1"/>
      <c r="X1"/>
      <c r="Y1"/>
      <c r="Z1"/>
    </row>
    <row r="2" spans="1:26" ht="22" customHeight="1">
      <c r="A2" s="237" t="s">
        <v>505</v>
      </c>
      <c r="B2" s="238"/>
      <c r="C2" s="238"/>
      <c r="D2" s="238"/>
      <c r="E2" s="238"/>
      <c r="F2" s="238"/>
      <c r="G2" s="238"/>
      <c r="H2" s="238"/>
      <c r="I2" s="238"/>
      <c r="J2" s="238"/>
      <c r="K2" s="238"/>
      <c r="L2" s="238"/>
      <c r="M2" s="238"/>
      <c r="N2" s="238"/>
      <c r="O2" s="238"/>
      <c r="P2" s="238"/>
      <c r="Q2" s="238"/>
      <c r="R2" s="238"/>
      <c r="S2" s="239"/>
      <c r="T2"/>
      <c r="U2"/>
      <c r="V2"/>
      <c r="W2"/>
      <c r="X2"/>
      <c r="Y2"/>
      <c r="Z2"/>
    </row>
    <row r="3" spans="1:26" ht="24" customHeight="1">
      <c r="A3" s="154" t="s">
        <v>192</v>
      </c>
      <c r="B3" s="155" t="s">
        <v>268</v>
      </c>
      <c r="C3" s="155" t="s">
        <v>449</v>
      </c>
      <c r="D3" s="155" t="s">
        <v>17</v>
      </c>
      <c r="E3" s="155" t="s">
        <v>31</v>
      </c>
      <c r="F3" s="155" t="s">
        <v>194</v>
      </c>
      <c r="G3" s="156">
        <v>35</v>
      </c>
      <c r="H3" s="157">
        <v>70</v>
      </c>
      <c r="I3" s="157">
        <v>70</v>
      </c>
      <c r="J3" s="157">
        <v>140</v>
      </c>
      <c r="K3" s="157">
        <v>400</v>
      </c>
      <c r="L3" s="157">
        <v>10</v>
      </c>
      <c r="M3" s="157">
        <v>70</v>
      </c>
      <c r="N3" s="158">
        <f>SUM(H3:M3)</f>
        <v>760</v>
      </c>
      <c r="O3" s="157">
        <v>950</v>
      </c>
      <c r="P3" s="101">
        <v>3480</v>
      </c>
      <c r="Q3" s="159" t="s">
        <v>398</v>
      </c>
      <c r="R3" s="160">
        <f>IFERROR(N3+IF(ISNUMBER(O3),O3,0)+IF(ISNUMBER(P3),P3,0),"")</f>
        <v>5190</v>
      </c>
      <c r="S3" s="161" t="s">
        <v>212</v>
      </c>
      <c r="T3"/>
      <c r="U3"/>
      <c r="V3"/>
      <c r="W3"/>
      <c r="X3"/>
      <c r="Y3"/>
      <c r="Z3"/>
    </row>
    <row r="4" spans="1:26" ht="24" customHeight="1">
      <c r="A4" s="154" t="s">
        <v>198</v>
      </c>
      <c r="B4" s="155" t="s">
        <v>270</v>
      </c>
      <c r="C4" s="155" t="s">
        <v>449</v>
      </c>
      <c r="D4" s="155" t="s">
        <v>17</v>
      </c>
      <c r="E4" s="155" t="s">
        <v>31</v>
      </c>
      <c r="F4" s="155" t="s">
        <v>199</v>
      </c>
      <c r="G4" s="156">
        <v>15</v>
      </c>
      <c r="H4" s="157">
        <v>70</v>
      </c>
      <c r="I4" s="157">
        <v>70</v>
      </c>
      <c r="J4" s="157">
        <v>140</v>
      </c>
      <c r="K4" s="157">
        <v>200</v>
      </c>
      <c r="L4" s="157">
        <v>20</v>
      </c>
      <c r="M4" s="157">
        <v>50</v>
      </c>
      <c r="N4" s="158">
        <f>SUM(H4:M4)</f>
        <v>550</v>
      </c>
      <c r="O4" s="157">
        <v>950</v>
      </c>
      <c r="P4" s="101">
        <v>3480</v>
      </c>
      <c r="Q4" s="159" t="s">
        <v>398</v>
      </c>
      <c r="R4" s="160">
        <f>IFERROR(N4+IF(ISNUMBER(O4),O4,0)+IF(ISNUMBER(P4),P4,0),"")</f>
        <v>4980</v>
      </c>
      <c r="S4" s="161" t="s">
        <v>212</v>
      </c>
      <c r="T4"/>
      <c r="U4"/>
      <c r="V4"/>
      <c r="W4"/>
      <c r="X4"/>
      <c r="Y4"/>
      <c r="Z4"/>
    </row>
    <row r="5" spans="1:26" ht="22" customHeight="1">
      <c r="A5" s="240" t="s">
        <v>506</v>
      </c>
      <c r="B5" s="241"/>
      <c r="C5" s="241"/>
      <c r="D5" s="241"/>
      <c r="E5" s="241"/>
      <c r="F5" s="241"/>
      <c r="G5" s="241"/>
      <c r="H5" s="241"/>
      <c r="I5" s="241"/>
      <c r="J5" s="241"/>
      <c r="K5" s="241"/>
      <c r="L5" s="241"/>
      <c r="M5" s="241"/>
      <c r="N5" s="241"/>
      <c r="O5" s="241"/>
      <c r="P5" s="241"/>
      <c r="Q5" s="241"/>
      <c r="R5" s="241"/>
      <c r="S5" s="242"/>
      <c r="T5"/>
      <c r="U5"/>
      <c r="V5"/>
      <c r="W5"/>
      <c r="X5"/>
      <c r="Y5"/>
      <c r="Z5"/>
    </row>
    <row r="6" spans="1:26" ht="24" customHeight="1">
      <c r="A6" s="76" t="s">
        <v>228</v>
      </c>
      <c r="B6" s="81" t="s">
        <v>373</v>
      </c>
      <c r="C6" s="81" t="s">
        <v>450</v>
      </c>
      <c r="D6" s="81" t="s">
        <v>26</v>
      </c>
      <c r="E6" s="81" t="s">
        <v>105</v>
      </c>
      <c r="F6" s="81" t="s">
        <v>230</v>
      </c>
      <c r="G6" s="66">
        <v>8</v>
      </c>
      <c r="H6" s="86">
        <v>70</v>
      </c>
      <c r="I6" s="86">
        <v>50</v>
      </c>
      <c r="J6" s="86">
        <v>260</v>
      </c>
      <c r="K6" s="86">
        <v>250</v>
      </c>
      <c r="L6" s="86">
        <v>90</v>
      </c>
      <c r="M6" s="86">
        <v>80</v>
      </c>
      <c r="N6" s="91">
        <f t="shared" ref="N6:N16" si="0">SUM(H6:M6)</f>
        <v>800</v>
      </c>
      <c r="O6" s="86" t="s">
        <v>169</v>
      </c>
      <c r="P6" s="101">
        <v>3500</v>
      </c>
      <c r="Q6" s="71" t="s">
        <v>398</v>
      </c>
      <c r="R6" s="96">
        <f t="shared" ref="R6:R16" si="1">IFERROR(N6+IF(ISNUMBER(O6),O6,0)+IF(ISNUMBER(P6),P6,0),"")</f>
        <v>4300</v>
      </c>
      <c r="S6" s="105" t="s">
        <v>140</v>
      </c>
      <c r="T6"/>
      <c r="U6"/>
      <c r="V6"/>
      <c r="W6"/>
      <c r="X6"/>
      <c r="Y6"/>
      <c r="Z6"/>
    </row>
    <row r="7" spans="1:26" ht="24" customHeight="1">
      <c r="A7" s="76" t="s">
        <v>231</v>
      </c>
      <c r="B7" s="81" t="s">
        <v>375</v>
      </c>
      <c r="C7" s="81" t="s">
        <v>450</v>
      </c>
      <c r="D7" s="81" t="s">
        <v>56</v>
      </c>
      <c r="E7" s="81" t="s">
        <v>105</v>
      </c>
      <c r="F7" s="81" t="s">
        <v>230</v>
      </c>
      <c r="G7" s="66">
        <v>15</v>
      </c>
      <c r="H7" s="86">
        <v>70</v>
      </c>
      <c r="I7" s="86">
        <v>50</v>
      </c>
      <c r="J7" s="86">
        <v>260</v>
      </c>
      <c r="K7" s="86">
        <v>325</v>
      </c>
      <c r="L7" s="86">
        <v>90</v>
      </c>
      <c r="M7" s="86">
        <v>80</v>
      </c>
      <c r="N7" s="91">
        <f t="shared" si="0"/>
        <v>875</v>
      </c>
      <c r="O7" s="86" t="s">
        <v>169</v>
      </c>
      <c r="P7" s="101">
        <v>3500</v>
      </c>
      <c r="Q7" s="71" t="s">
        <v>398</v>
      </c>
      <c r="R7" s="96">
        <f t="shared" si="1"/>
        <v>4375</v>
      </c>
      <c r="S7" s="105" t="s">
        <v>140</v>
      </c>
      <c r="T7"/>
      <c r="U7"/>
      <c r="V7"/>
      <c r="W7"/>
      <c r="X7"/>
      <c r="Y7"/>
      <c r="Z7"/>
    </row>
    <row r="8" spans="1:26" ht="24" customHeight="1">
      <c r="A8" s="76" t="s">
        <v>236</v>
      </c>
      <c r="B8" s="81" t="s">
        <v>451</v>
      </c>
      <c r="C8" s="81" t="s">
        <v>450</v>
      </c>
      <c r="D8" s="81" t="s">
        <v>29</v>
      </c>
      <c r="E8" s="81" t="s">
        <v>105</v>
      </c>
      <c r="F8" s="81" t="s">
        <v>230</v>
      </c>
      <c r="G8" s="66">
        <v>8</v>
      </c>
      <c r="H8" s="86">
        <v>70</v>
      </c>
      <c r="I8" s="86">
        <v>80</v>
      </c>
      <c r="J8" s="86">
        <v>160</v>
      </c>
      <c r="K8" s="86">
        <v>1000</v>
      </c>
      <c r="L8" s="86">
        <v>50</v>
      </c>
      <c r="M8" s="86">
        <v>75</v>
      </c>
      <c r="N8" s="91">
        <f t="shared" si="0"/>
        <v>1435</v>
      </c>
      <c r="O8" s="86" t="s">
        <v>169</v>
      </c>
      <c r="P8" s="101">
        <v>2500</v>
      </c>
      <c r="Q8" s="71" t="s">
        <v>398</v>
      </c>
      <c r="R8" s="96">
        <f t="shared" si="1"/>
        <v>3935</v>
      </c>
      <c r="S8" s="105" t="s">
        <v>140</v>
      </c>
      <c r="T8"/>
      <c r="U8"/>
      <c r="V8"/>
      <c r="W8"/>
      <c r="X8"/>
      <c r="Y8"/>
      <c r="Z8"/>
    </row>
    <row r="9" spans="1:26" ht="24" customHeight="1">
      <c r="A9" s="76" t="s">
        <v>452</v>
      </c>
      <c r="B9" s="81" t="s">
        <v>453</v>
      </c>
      <c r="C9" s="81" t="s">
        <v>450</v>
      </c>
      <c r="D9" s="81" t="s">
        <v>59</v>
      </c>
      <c r="E9" s="81" t="s">
        <v>105</v>
      </c>
      <c r="F9" s="81" t="s">
        <v>230</v>
      </c>
      <c r="G9" s="66">
        <v>4</v>
      </c>
      <c r="H9" s="86">
        <v>70</v>
      </c>
      <c r="I9" s="86">
        <v>70</v>
      </c>
      <c r="J9" s="86">
        <v>145</v>
      </c>
      <c r="K9" s="86">
        <v>200</v>
      </c>
      <c r="L9" s="86">
        <v>15</v>
      </c>
      <c r="M9" s="86">
        <v>50</v>
      </c>
      <c r="N9" s="91">
        <f t="shared" si="0"/>
        <v>550</v>
      </c>
      <c r="O9" s="86" t="s">
        <v>169</v>
      </c>
      <c r="P9" s="101">
        <v>3000</v>
      </c>
      <c r="Q9" s="71" t="s">
        <v>398</v>
      </c>
      <c r="R9" s="96">
        <f t="shared" si="1"/>
        <v>3550</v>
      </c>
      <c r="S9" s="105" t="s">
        <v>131</v>
      </c>
      <c r="T9"/>
      <c r="U9"/>
      <c r="V9"/>
      <c r="W9"/>
      <c r="X9"/>
      <c r="Y9"/>
      <c r="Z9"/>
    </row>
    <row r="10" spans="1:26" ht="24" customHeight="1">
      <c r="A10" s="76" t="s">
        <v>237</v>
      </c>
      <c r="B10" s="81" t="s">
        <v>376</v>
      </c>
      <c r="C10" s="81" t="s">
        <v>450</v>
      </c>
      <c r="D10" s="81" t="s">
        <v>334</v>
      </c>
      <c r="E10" s="81" t="s">
        <v>105</v>
      </c>
      <c r="F10" s="81" t="s">
        <v>230</v>
      </c>
      <c r="G10" s="66">
        <v>8</v>
      </c>
      <c r="H10" s="86">
        <v>70</v>
      </c>
      <c r="I10" s="86">
        <v>35</v>
      </c>
      <c r="J10" s="86">
        <v>145</v>
      </c>
      <c r="K10" s="86">
        <v>350</v>
      </c>
      <c r="L10" s="86">
        <v>150</v>
      </c>
      <c r="M10" s="86">
        <v>50</v>
      </c>
      <c r="N10" s="91">
        <f t="shared" si="0"/>
        <v>800</v>
      </c>
      <c r="O10" s="86" t="s">
        <v>169</v>
      </c>
      <c r="P10" s="101">
        <v>2700</v>
      </c>
      <c r="Q10" s="71" t="s">
        <v>398</v>
      </c>
      <c r="R10" s="96">
        <f t="shared" si="1"/>
        <v>3500</v>
      </c>
      <c r="S10" s="105" t="s">
        <v>131</v>
      </c>
      <c r="T10"/>
      <c r="U10"/>
      <c r="V10"/>
      <c r="W10"/>
      <c r="X10"/>
      <c r="Y10"/>
      <c r="Z10"/>
    </row>
    <row r="11" spans="1:26" ht="24" customHeight="1">
      <c r="A11" s="76" t="s">
        <v>454</v>
      </c>
      <c r="B11" s="81" t="s">
        <v>455</v>
      </c>
      <c r="C11" s="81" t="s">
        <v>450</v>
      </c>
      <c r="D11" s="81" t="s">
        <v>17</v>
      </c>
      <c r="E11" s="81" t="s">
        <v>105</v>
      </c>
      <c r="F11" s="81" t="s">
        <v>230</v>
      </c>
      <c r="G11" s="66">
        <v>3</v>
      </c>
      <c r="H11" s="86">
        <v>70</v>
      </c>
      <c r="I11" s="86">
        <v>70</v>
      </c>
      <c r="J11" s="86">
        <v>145</v>
      </c>
      <c r="K11" s="86">
        <v>50</v>
      </c>
      <c r="L11" s="86">
        <v>15</v>
      </c>
      <c r="M11" s="86">
        <v>60</v>
      </c>
      <c r="N11" s="91">
        <f t="shared" si="0"/>
        <v>410</v>
      </c>
      <c r="O11" s="86" t="s">
        <v>169</v>
      </c>
      <c r="P11" s="101">
        <v>2700</v>
      </c>
      <c r="Q11" s="71" t="s">
        <v>398</v>
      </c>
      <c r="R11" s="96">
        <f t="shared" si="1"/>
        <v>3110</v>
      </c>
      <c r="S11" s="105" t="s">
        <v>131</v>
      </c>
      <c r="T11"/>
      <c r="U11"/>
      <c r="V11"/>
      <c r="W11"/>
      <c r="X11"/>
      <c r="Y11"/>
      <c r="Z11"/>
    </row>
    <row r="12" spans="1:26" ht="24" customHeight="1">
      <c r="A12" s="76" t="s">
        <v>456</v>
      </c>
      <c r="B12" s="81" t="s">
        <v>457</v>
      </c>
      <c r="C12" s="81" t="s">
        <v>450</v>
      </c>
      <c r="D12" s="81" t="s">
        <v>17</v>
      </c>
      <c r="E12" s="81" t="s">
        <v>105</v>
      </c>
      <c r="F12" s="81" t="s">
        <v>230</v>
      </c>
      <c r="G12" s="66">
        <v>3</v>
      </c>
      <c r="H12" s="86">
        <v>70</v>
      </c>
      <c r="I12" s="86">
        <v>70</v>
      </c>
      <c r="J12" s="86">
        <v>145</v>
      </c>
      <c r="K12" s="86">
        <v>230</v>
      </c>
      <c r="L12" s="86">
        <v>15</v>
      </c>
      <c r="M12" s="86">
        <v>60</v>
      </c>
      <c r="N12" s="91">
        <f t="shared" si="0"/>
        <v>590</v>
      </c>
      <c r="O12" s="86" t="s">
        <v>169</v>
      </c>
      <c r="P12" s="101">
        <v>2700</v>
      </c>
      <c r="Q12" s="71" t="s">
        <v>398</v>
      </c>
      <c r="R12" s="96">
        <f t="shared" si="1"/>
        <v>3290</v>
      </c>
      <c r="S12" s="105" t="s">
        <v>131</v>
      </c>
      <c r="T12"/>
      <c r="U12"/>
      <c r="V12"/>
      <c r="W12"/>
      <c r="X12"/>
      <c r="Y12"/>
      <c r="Z12"/>
    </row>
    <row r="13" spans="1:26" ht="24" customHeight="1">
      <c r="A13" s="76" t="s">
        <v>251</v>
      </c>
      <c r="B13" s="81" t="s">
        <v>458</v>
      </c>
      <c r="C13" s="81" t="s">
        <v>450</v>
      </c>
      <c r="D13" s="81" t="s">
        <v>17</v>
      </c>
      <c r="E13" s="81" t="s">
        <v>105</v>
      </c>
      <c r="F13" s="81" t="s">
        <v>230</v>
      </c>
      <c r="G13" s="66">
        <v>3</v>
      </c>
      <c r="H13" s="86">
        <v>70</v>
      </c>
      <c r="I13" s="86">
        <v>70</v>
      </c>
      <c r="J13" s="86">
        <v>145</v>
      </c>
      <c r="K13" s="86">
        <v>550</v>
      </c>
      <c r="L13" s="86">
        <v>15</v>
      </c>
      <c r="M13" s="86">
        <v>60</v>
      </c>
      <c r="N13" s="91">
        <f t="shared" si="0"/>
        <v>910</v>
      </c>
      <c r="O13" s="86" t="s">
        <v>169</v>
      </c>
      <c r="P13" s="101">
        <v>2700</v>
      </c>
      <c r="Q13" s="71" t="s">
        <v>398</v>
      </c>
      <c r="R13" s="96">
        <f t="shared" si="1"/>
        <v>3610</v>
      </c>
      <c r="S13" s="105" t="s">
        <v>131</v>
      </c>
      <c r="T13"/>
      <c r="U13"/>
      <c r="V13"/>
      <c r="W13"/>
      <c r="X13"/>
      <c r="Y13"/>
      <c r="Z13"/>
    </row>
    <row r="14" spans="1:26" ht="24" customHeight="1">
      <c r="A14" s="76" t="s">
        <v>244</v>
      </c>
      <c r="B14" s="81" t="s">
        <v>459</v>
      </c>
      <c r="C14" s="81" t="s">
        <v>450</v>
      </c>
      <c r="D14" s="81" t="s">
        <v>17</v>
      </c>
      <c r="E14" s="81" t="s">
        <v>105</v>
      </c>
      <c r="F14" s="81" t="s">
        <v>230</v>
      </c>
      <c r="G14" s="66">
        <v>3</v>
      </c>
      <c r="H14" s="86">
        <v>70</v>
      </c>
      <c r="I14" s="86">
        <v>70</v>
      </c>
      <c r="J14" s="86">
        <v>145</v>
      </c>
      <c r="K14" s="86">
        <v>1550</v>
      </c>
      <c r="L14" s="86">
        <v>15</v>
      </c>
      <c r="M14" s="86">
        <v>60</v>
      </c>
      <c r="N14" s="91">
        <f t="shared" si="0"/>
        <v>1910</v>
      </c>
      <c r="O14" s="86" t="s">
        <v>169</v>
      </c>
      <c r="P14" s="101">
        <v>2700</v>
      </c>
      <c r="Q14" s="71" t="s">
        <v>398</v>
      </c>
      <c r="R14" s="96">
        <f t="shared" si="1"/>
        <v>4610</v>
      </c>
      <c r="S14" s="105" t="s">
        <v>131</v>
      </c>
      <c r="T14"/>
      <c r="U14"/>
      <c r="V14"/>
      <c r="W14"/>
      <c r="X14"/>
      <c r="Y14"/>
      <c r="Z14"/>
    </row>
    <row r="15" spans="1:26" ht="24" customHeight="1">
      <c r="A15" s="76" t="s">
        <v>460</v>
      </c>
      <c r="B15" s="81" t="s">
        <v>461</v>
      </c>
      <c r="C15" s="81" t="s">
        <v>450</v>
      </c>
      <c r="D15" s="81" t="s">
        <v>17</v>
      </c>
      <c r="E15" s="81" t="s">
        <v>105</v>
      </c>
      <c r="F15" s="81" t="s">
        <v>230</v>
      </c>
      <c r="G15" s="66">
        <v>3</v>
      </c>
      <c r="H15" s="86">
        <v>70</v>
      </c>
      <c r="I15" s="86">
        <v>70</v>
      </c>
      <c r="J15" s="86">
        <v>145</v>
      </c>
      <c r="K15" s="86">
        <v>250</v>
      </c>
      <c r="L15" s="86">
        <v>15</v>
      </c>
      <c r="M15" s="86">
        <v>60</v>
      </c>
      <c r="N15" s="91">
        <f t="shared" si="0"/>
        <v>610</v>
      </c>
      <c r="O15" s="86" t="s">
        <v>169</v>
      </c>
      <c r="P15" s="101">
        <v>2700</v>
      </c>
      <c r="Q15" s="71" t="s">
        <v>398</v>
      </c>
      <c r="R15" s="96">
        <f t="shared" si="1"/>
        <v>3310</v>
      </c>
      <c r="S15" s="105" t="s">
        <v>131</v>
      </c>
      <c r="T15"/>
      <c r="U15"/>
      <c r="V15"/>
      <c r="W15"/>
      <c r="X15"/>
      <c r="Y15"/>
      <c r="Z15"/>
    </row>
    <row r="16" spans="1:26" ht="24" customHeight="1">
      <c r="A16" s="76" t="s">
        <v>462</v>
      </c>
      <c r="B16" s="81" t="s">
        <v>463</v>
      </c>
      <c r="C16" s="81" t="s">
        <v>450</v>
      </c>
      <c r="D16" s="81" t="s">
        <v>17</v>
      </c>
      <c r="E16" s="81" t="s">
        <v>105</v>
      </c>
      <c r="F16" s="81" t="s">
        <v>230</v>
      </c>
      <c r="G16" s="66">
        <v>3</v>
      </c>
      <c r="H16" s="86">
        <v>70</v>
      </c>
      <c r="I16" s="86">
        <v>70</v>
      </c>
      <c r="J16" s="86">
        <v>145</v>
      </c>
      <c r="K16" s="86">
        <v>500</v>
      </c>
      <c r="L16" s="86">
        <v>15</v>
      </c>
      <c r="M16" s="86">
        <v>60</v>
      </c>
      <c r="N16" s="91">
        <f t="shared" si="0"/>
        <v>860</v>
      </c>
      <c r="O16" s="86" t="s">
        <v>169</v>
      </c>
      <c r="P16" s="101">
        <v>2700</v>
      </c>
      <c r="Q16" s="71" t="s">
        <v>398</v>
      </c>
      <c r="R16" s="96">
        <f t="shared" si="1"/>
        <v>3560</v>
      </c>
      <c r="S16" s="105" t="s">
        <v>131</v>
      </c>
      <c r="T16"/>
      <c r="U16"/>
      <c r="V16"/>
      <c r="W16"/>
      <c r="X16"/>
      <c r="Y16"/>
      <c r="Z16"/>
    </row>
    <row r="17" spans="1:26" ht="24" customHeight="1">
      <c r="A17" s="76" t="s">
        <v>245</v>
      </c>
      <c r="B17" s="81" t="s">
        <v>464</v>
      </c>
      <c r="C17" s="81" t="s">
        <v>450</v>
      </c>
      <c r="D17" s="81" t="s">
        <v>17</v>
      </c>
      <c r="E17" s="81" t="s">
        <v>105</v>
      </c>
      <c r="F17" s="81" t="s">
        <v>230</v>
      </c>
      <c r="G17" s="66">
        <v>8</v>
      </c>
      <c r="H17" s="86">
        <v>70</v>
      </c>
      <c r="I17" s="86">
        <v>70</v>
      </c>
      <c r="J17" s="86">
        <v>145</v>
      </c>
      <c r="K17" s="86">
        <v>350</v>
      </c>
      <c r="L17" s="86">
        <v>15</v>
      </c>
      <c r="M17" s="86">
        <v>60</v>
      </c>
      <c r="N17" s="91"/>
      <c r="O17" s="86" t="s">
        <v>169</v>
      </c>
      <c r="P17" s="101">
        <v>2700</v>
      </c>
      <c r="Q17" s="71" t="s">
        <v>398</v>
      </c>
      <c r="R17" s="96"/>
      <c r="S17" s="105" t="s">
        <v>131</v>
      </c>
      <c r="T17"/>
      <c r="U17"/>
      <c r="V17"/>
      <c r="W17"/>
      <c r="X17"/>
      <c r="Y17"/>
      <c r="Z17"/>
    </row>
    <row r="18" spans="1:26" ht="22" customHeight="1">
      <c r="A18" s="243" t="s">
        <v>507</v>
      </c>
      <c r="B18" s="244"/>
      <c r="C18" s="244"/>
      <c r="D18" s="244"/>
      <c r="E18" s="244"/>
      <c r="F18" s="244"/>
      <c r="G18" s="244"/>
      <c r="H18" s="244"/>
      <c r="I18" s="244"/>
      <c r="J18" s="244"/>
      <c r="K18" s="244"/>
      <c r="L18" s="244"/>
      <c r="M18" s="244"/>
      <c r="N18" s="244"/>
      <c r="O18" s="244"/>
      <c r="P18" s="244"/>
      <c r="Q18" s="244"/>
      <c r="R18" s="244"/>
      <c r="S18" s="245"/>
      <c r="T18"/>
      <c r="U18"/>
      <c r="V18"/>
      <c r="W18"/>
      <c r="X18"/>
      <c r="Y18"/>
      <c r="Z18"/>
    </row>
    <row r="19" spans="1:26" ht="24" customHeight="1">
      <c r="A19" s="77" t="s">
        <v>201</v>
      </c>
      <c r="B19" s="82" t="s">
        <v>268</v>
      </c>
      <c r="C19" s="82" t="s">
        <v>465</v>
      </c>
      <c r="D19" s="82" t="s">
        <v>17</v>
      </c>
      <c r="E19" s="82" t="s">
        <v>18</v>
      </c>
      <c r="F19" s="82" t="s">
        <v>194</v>
      </c>
      <c r="G19" s="67">
        <v>6</v>
      </c>
      <c r="H19" s="87">
        <v>70</v>
      </c>
      <c r="I19" s="87">
        <v>70</v>
      </c>
      <c r="J19" s="87">
        <v>140</v>
      </c>
      <c r="K19" s="87">
        <v>400</v>
      </c>
      <c r="L19" s="87">
        <v>10</v>
      </c>
      <c r="M19" s="87">
        <v>70</v>
      </c>
      <c r="N19" s="92">
        <f>SUM(H19:M19)</f>
        <v>760</v>
      </c>
      <c r="O19" s="87">
        <v>2685</v>
      </c>
      <c r="P19" s="101">
        <v>4600</v>
      </c>
      <c r="Q19" s="72" t="s">
        <v>398</v>
      </c>
      <c r="R19" s="97">
        <f>IFERROR(N19+IF(ISNUMBER(O19),O19,0)+IF(ISNUMBER(P19),P19,0),"")</f>
        <v>8045</v>
      </c>
      <c r="S19" s="106" t="s">
        <v>212</v>
      </c>
      <c r="T19"/>
      <c r="U19"/>
      <c r="V19"/>
      <c r="W19"/>
      <c r="X19"/>
      <c r="Y19"/>
      <c r="Z19"/>
    </row>
    <row r="20" spans="1:26" ht="24" customHeight="1">
      <c r="A20" s="77" t="s">
        <v>204</v>
      </c>
      <c r="B20" s="82" t="s">
        <v>271</v>
      </c>
      <c r="C20" s="82" t="s">
        <v>466</v>
      </c>
      <c r="D20" s="82" t="s">
        <v>17</v>
      </c>
      <c r="E20" s="82" t="s">
        <v>23</v>
      </c>
      <c r="F20" s="82" t="s">
        <v>194</v>
      </c>
      <c r="G20" s="67">
        <v>6</v>
      </c>
      <c r="H20" s="87">
        <v>70</v>
      </c>
      <c r="I20" s="87">
        <v>70</v>
      </c>
      <c r="J20" s="87">
        <v>140</v>
      </c>
      <c r="K20" s="87">
        <v>250</v>
      </c>
      <c r="L20" s="87">
        <v>10</v>
      </c>
      <c r="M20" s="87">
        <v>70</v>
      </c>
      <c r="N20" s="92">
        <f>SUM(H20:M20)</f>
        <v>610</v>
      </c>
      <c r="O20" s="87">
        <v>885</v>
      </c>
      <c r="P20" s="101">
        <v>5000</v>
      </c>
      <c r="Q20" s="72" t="s">
        <v>398</v>
      </c>
      <c r="R20" s="97">
        <f>IFERROR(N20+IF(ISNUMBER(O20),O20,0)+IF(ISNUMBER(P20),P20,0),"")</f>
        <v>6495</v>
      </c>
      <c r="S20" s="106" t="s">
        <v>212</v>
      </c>
      <c r="T20"/>
      <c r="U20"/>
      <c r="V20"/>
      <c r="W20"/>
      <c r="X20"/>
      <c r="Y20"/>
      <c r="Z20"/>
    </row>
    <row r="21" spans="1:26" ht="24" customHeight="1">
      <c r="A21" s="77" t="s">
        <v>205</v>
      </c>
      <c r="B21" s="82" t="s">
        <v>373</v>
      </c>
      <c r="C21" s="82" t="s">
        <v>374</v>
      </c>
      <c r="D21" s="82" t="s">
        <v>26</v>
      </c>
      <c r="E21" s="82" t="s">
        <v>27</v>
      </c>
      <c r="F21" s="82" t="s">
        <v>194</v>
      </c>
      <c r="G21" s="67">
        <v>1</v>
      </c>
      <c r="H21" s="87">
        <v>70</v>
      </c>
      <c r="I21" s="87">
        <v>70</v>
      </c>
      <c r="J21" s="87">
        <v>140</v>
      </c>
      <c r="K21" s="87">
        <v>300</v>
      </c>
      <c r="L21" s="87">
        <v>30</v>
      </c>
      <c r="M21" s="87">
        <v>70</v>
      </c>
      <c r="N21" s="92">
        <f>SUM(H21:M21)</f>
        <v>680</v>
      </c>
      <c r="O21" s="87">
        <v>2785</v>
      </c>
      <c r="P21" s="101">
        <v>6182</v>
      </c>
      <c r="Q21" s="72" t="s">
        <v>398</v>
      </c>
      <c r="R21" s="97">
        <f>IFERROR(N21+IF(ISNUMBER(O21),O21,0)+IF(ISNUMBER(P21),P21,0),"")</f>
        <v>9647</v>
      </c>
      <c r="S21" s="106" t="s">
        <v>212</v>
      </c>
      <c r="T21"/>
      <c r="U21"/>
      <c r="V21"/>
      <c r="W21"/>
      <c r="X21"/>
      <c r="Y21"/>
      <c r="Z21"/>
    </row>
    <row r="22" spans="1:26" ht="24" customHeight="1">
      <c r="A22" s="77" t="s">
        <v>207</v>
      </c>
      <c r="B22" s="82" t="s">
        <v>467</v>
      </c>
      <c r="C22" s="82" t="s">
        <v>374</v>
      </c>
      <c r="D22" s="82" t="s">
        <v>29</v>
      </c>
      <c r="E22" s="82" t="s">
        <v>27</v>
      </c>
      <c r="F22" s="82" t="s">
        <v>194</v>
      </c>
      <c r="G22" s="67">
        <v>10</v>
      </c>
      <c r="H22" s="87">
        <v>70</v>
      </c>
      <c r="I22" s="87">
        <v>80</v>
      </c>
      <c r="J22" s="87">
        <v>160</v>
      </c>
      <c r="K22" s="87">
        <v>1000</v>
      </c>
      <c r="L22" s="87">
        <v>50</v>
      </c>
      <c r="M22" s="87">
        <v>75</v>
      </c>
      <c r="N22" s="92">
        <f>SUM(H22:M22)</f>
        <v>1435</v>
      </c>
      <c r="O22" s="87">
        <v>2785</v>
      </c>
      <c r="P22" s="101">
        <v>4870</v>
      </c>
      <c r="Q22" s="72" t="s">
        <v>398</v>
      </c>
      <c r="R22" s="97">
        <f>IFERROR(N22+IF(ISNUMBER(O22),O22,0)+IF(ISNUMBER(P22),P22,0),"")</f>
        <v>9090</v>
      </c>
      <c r="S22" s="106" t="s">
        <v>212</v>
      </c>
      <c r="T22"/>
      <c r="U22"/>
      <c r="V22"/>
      <c r="W22"/>
      <c r="X22"/>
      <c r="Y22"/>
      <c r="Z22"/>
    </row>
    <row r="23" spans="1:26" ht="24" customHeight="1">
      <c r="A23" s="77" t="s">
        <v>209</v>
      </c>
      <c r="B23" s="82" t="s">
        <v>268</v>
      </c>
      <c r="C23" s="82" t="s">
        <v>374</v>
      </c>
      <c r="D23" s="82" t="s">
        <v>17</v>
      </c>
      <c r="E23" s="82" t="s">
        <v>27</v>
      </c>
      <c r="F23" s="82" t="s">
        <v>194</v>
      </c>
      <c r="G23" s="67">
        <v>8</v>
      </c>
      <c r="H23" s="87">
        <v>70</v>
      </c>
      <c r="I23" s="87">
        <v>70</v>
      </c>
      <c r="J23" s="87">
        <v>140</v>
      </c>
      <c r="K23" s="87">
        <v>400</v>
      </c>
      <c r="L23" s="87">
        <v>10</v>
      </c>
      <c r="M23" s="87">
        <v>70</v>
      </c>
      <c r="N23" s="92"/>
      <c r="O23" s="87">
        <v>2785</v>
      </c>
      <c r="P23" s="101">
        <v>4932</v>
      </c>
      <c r="Q23" s="72" t="s">
        <v>398</v>
      </c>
      <c r="R23" s="97"/>
      <c r="S23" s="106" t="s">
        <v>212</v>
      </c>
      <c r="T23"/>
      <c r="U23"/>
      <c r="V23"/>
      <c r="W23"/>
      <c r="X23"/>
      <c r="Y23"/>
      <c r="Z23"/>
    </row>
    <row r="24" spans="1:26" ht="22" customHeight="1">
      <c r="A24" s="246" t="s">
        <v>508</v>
      </c>
      <c r="B24" s="247"/>
      <c r="C24" s="247"/>
      <c r="D24" s="247"/>
      <c r="E24" s="247"/>
      <c r="F24" s="247"/>
      <c r="G24" s="247"/>
      <c r="H24" s="247"/>
      <c r="I24" s="247"/>
      <c r="J24" s="247"/>
      <c r="K24" s="247"/>
      <c r="L24" s="247"/>
      <c r="M24" s="247"/>
      <c r="N24" s="247"/>
      <c r="O24" s="247"/>
      <c r="P24" s="247"/>
      <c r="Q24" s="247"/>
      <c r="R24" s="247"/>
      <c r="S24" s="248"/>
      <c r="T24"/>
      <c r="U24"/>
      <c r="V24"/>
      <c r="W24"/>
      <c r="X24"/>
      <c r="Y24"/>
      <c r="Z24"/>
    </row>
    <row r="25" spans="1:26" ht="24" customHeight="1">
      <c r="A25" s="162" t="s">
        <v>468</v>
      </c>
      <c r="B25" s="163" t="s">
        <v>375</v>
      </c>
      <c r="C25" s="163" t="s">
        <v>268</v>
      </c>
      <c r="D25" s="163" t="s">
        <v>26</v>
      </c>
      <c r="E25" s="163" t="s">
        <v>17</v>
      </c>
      <c r="F25" s="163" t="s">
        <v>194</v>
      </c>
      <c r="G25" s="164">
        <v>15</v>
      </c>
      <c r="H25" s="165">
        <v>70</v>
      </c>
      <c r="I25" s="165">
        <v>50</v>
      </c>
      <c r="J25" s="165">
        <v>260</v>
      </c>
      <c r="K25" s="165">
        <v>325</v>
      </c>
      <c r="L25" s="165">
        <v>90</v>
      </c>
      <c r="M25" s="165">
        <v>80</v>
      </c>
      <c r="N25" s="166">
        <f>SUM(H25:M25)</f>
        <v>875</v>
      </c>
      <c r="O25" s="165">
        <v>600</v>
      </c>
      <c r="P25" s="101">
        <v>30</v>
      </c>
      <c r="Q25" s="167" t="s">
        <v>398</v>
      </c>
      <c r="R25" s="168">
        <f>IFERROR(N25+IF(ISNUMBER(O25),O25,0)+IF(ISNUMBER(P25),P25,0),"")</f>
        <v>1505</v>
      </c>
      <c r="S25" s="169" t="s">
        <v>131</v>
      </c>
      <c r="T25"/>
      <c r="U25"/>
      <c r="V25"/>
      <c r="W25"/>
      <c r="X25"/>
      <c r="Y25"/>
      <c r="Z25"/>
    </row>
    <row r="26" spans="1:26" ht="24" customHeight="1">
      <c r="A26" s="162" t="s">
        <v>226</v>
      </c>
      <c r="B26" s="163" t="s">
        <v>376</v>
      </c>
      <c r="C26" s="163" t="s">
        <v>268</v>
      </c>
      <c r="D26" s="163" t="s">
        <v>334</v>
      </c>
      <c r="E26" s="163" t="s">
        <v>17</v>
      </c>
      <c r="F26" s="163" t="s">
        <v>194</v>
      </c>
      <c r="G26" s="164">
        <v>7</v>
      </c>
      <c r="H26" s="165">
        <v>70</v>
      </c>
      <c r="I26" s="165">
        <v>35</v>
      </c>
      <c r="J26" s="165">
        <v>145</v>
      </c>
      <c r="K26" s="165">
        <v>350</v>
      </c>
      <c r="L26" s="165">
        <v>150</v>
      </c>
      <c r="M26" s="165">
        <v>50</v>
      </c>
      <c r="N26" s="166"/>
      <c r="O26" s="165">
        <v>600</v>
      </c>
      <c r="P26" s="101">
        <v>1</v>
      </c>
      <c r="Q26" s="167" t="s">
        <v>398</v>
      </c>
      <c r="R26" s="168"/>
      <c r="S26" s="169" t="s">
        <v>131</v>
      </c>
      <c r="T26"/>
      <c r="U26"/>
      <c r="V26"/>
      <c r="W26"/>
      <c r="X26"/>
      <c r="Y26"/>
      <c r="Z26"/>
    </row>
    <row r="27" spans="1:26" ht="22" customHeight="1">
      <c r="A27" s="249" t="s">
        <v>509</v>
      </c>
      <c r="B27" s="250"/>
      <c r="C27" s="250"/>
      <c r="D27" s="250"/>
      <c r="E27" s="250"/>
      <c r="F27" s="250"/>
      <c r="G27" s="250"/>
      <c r="H27" s="250"/>
      <c r="I27" s="250"/>
      <c r="J27" s="250"/>
      <c r="K27" s="250"/>
      <c r="L27" s="250"/>
      <c r="M27" s="250"/>
      <c r="N27" s="250"/>
      <c r="O27" s="250"/>
      <c r="P27" s="250"/>
      <c r="Q27" s="250"/>
      <c r="R27" s="250"/>
      <c r="S27" s="251"/>
      <c r="T27"/>
      <c r="U27"/>
      <c r="V27"/>
      <c r="W27"/>
      <c r="X27"/>
      <c r="Y27"/>
      <c r="Z27"/>
    </row>
    <row r="28" spans="1:26" ht="24" customHeight="1">
      <c r="A28" s="78" t="s">
        <v>216</v>
      </c>
      <c r="B28" s="83" t="s">
        <v>271</v>
      </c>
      <c r="C28" s="83" t="s">
        <v>377</v>
      </c>
      <c r="D28" s="83" t="s">
        <v>17</v>
      </c>
      <c r="E28" s="83" t="s">
        <v>39</v>
      </c>
      <c r="F28" s="83" t="s">
        <v>194</v>
      </c>
      <c r="G28" s="68">
        <v>3</v>
      </c>
      <c r="H28" s="88">
        <v>70</v>
      </c>
      <c r="I28" s="88">
        <v>70</v>
      </c>
      <c r="J28" s="88">
        <v>140</v>
      </c>
      <c r="K28" s="88">
        <v>250</v>
      </c>
      <c r="L28" s="88">
        <v>10</v>
      </c>
      <c r="M28" s="88">
        <v>70</v>
      </c>
      <c r="N28" s="93">
        <f>SUM(H28:M28)</f>
        <v>610</v>
      </c>
      <c r="O28" s="88">
        <v>800</v>
      </c>
      <c r="P28" s="101">
        <v>440</v>
      </c>
      <c r="Q28" s="73" t="s">
        <v>398</v>
      </c>
      <c r="R28" s="98">
        <f>IFERROR(N28+IF(ISNUMBER(O28),O28,0)+IF(ISNUMBER(P28),P28,0),"")</f>
        <v>1850</v>
      </c>
      <c r="S28" s="107" t="s">
        <v>469</v>
      </c>
      <c r="T28"/>
      <c r="U28"/>
      <c r="V28"/>
      <c r="W28"/>
      <c r="X28"/>
      <c r="Y28"/>
      <c r="Z28"/>
    </row>
    <row r="29" spans="1:26" ht="24" customHeight="1">
      <c r="A29" s="78" t="s">
        <v>273</v>
      </c>
      <c r="B29" s="83" t="s">
        <v>378</v>
      </c>
      <c r="C29" s="83" t="s">
        <v>379</v>
      </c>
      <c r="D29" s="83" t="s">
        <v>17</v>
      </c>
      <c r="E29" s="83" t="s">
        <v>39</v>
      </c>
      <c r="F29" s="83" t="s">
        <v>194</v>
      </c>
      <c r="G29" s="68">
        <v>12</v>
      </c>
      <c r="H29" s="88">
        <v>70</v>
      </c>
      <c r="I29" s="88">
        <v>70</v>
      </c>
      <c r="J29" s="88">
        <v>140</v>
      </c>
      <c r="K29" s="88">
        <v>250</v>
      </c>
      <c r="L29" s="88">
        <v>10</v>
      </c>
      <c r="M29" s="88">
        <v>70</v>
      </c>
      <c r="N29" s="93">
        <f>SUM(H29:M29)</f>
        <v>610</v>
      </c>
      <c r="O29" s="88">
        <v>800</v>
      </c>
      <c r="P29" s="101">
        <v>440</v>
      </c>
      <c r="Q29" s="73" t="s">
        <v>398</v>
      </c>
      <c r="R29" s="98">
        <f>IFERROR(N29+IF(ISNUMBER(O29),O29,0)+IF(ISNUMBER(P29),P29,0),"")</f>
        <v>1850</v>
      </c>
      <c r="S29" s="107" t="s">
        <v>470</v>
      </c>
      <c r="T29"/>
      <c r="U29"/>
      <c r="V29"/>
      <c r="W29"/>
      <c r="X29"/>
      <c r="Y29"/>
      <c r="Z29"/>
    </row>
    <row r="30" spans="1:26" ht="24" customHeight="1">
      <c r="A30" s="78" t="s">
        <v>218</v>
      </c>
      <c r="B30" s="83" t="s">
        <v>276</v>
      </c>
      <c r="C30" s="83" t="s">
        <v>377</v>
      </c>
      <c r="D30" s="83" t="s">
        <v>44</v>
      </c>
      <c r="E30" s="83" t="s">
        <v>39</v>
      </c>
      <c r="F30" s="83" t="s">
        <v>194</v>
      </c>
      <c r="G30" s="68">
        <v>3</v>
      </c>
      <c r="H30" s="88">
        <v>70</v>
      </c>
      <c r="I30" s="88">
        <v>70</v>
      </c>
      <c r="J30" s="88">
        <v>140</v>
      </c>
      <c r="K30" s="88">
        <v>420</v>
      </c>
      <c r="L30" s="88">
        <v>30</v>
      </c>
      <c r="M30" s="88">
        <v>70</v>
      </c>
      <c r="N30" s="93">
        <f>SUM(H30:M30)</f>
        <v>800</v>
      </c>
      <c r="O30" s="88">
        <v>800</v>
      </c>
      <c r="P30" s="101">
        <v>440</v>
      </c>
      <c r="Q30" s="73" t="s">
        <v>398</v>
      </c>
      <c r="R30" s="98">
        <f>IFERROR(N30+IF(ISNUMBER(O30),O30,0)+IF(ISNUMBER(P30),P30,0),"")</f>
        <v>2040</v>
      </c>
      <c r="S30" s="107" t="s">
        <v>471</v>
      </c>
      <c r="T30"/>
      <c r="U30"/>
      <c r="V30"/>
      <c r="W30"/>
      <c r="X30"/>
      <c r="Y30"/>
      <c r="Z30"/>
    </row>
    <row r="31" spans="1:26" ht="24" customHeight="1">
      <c r="A31" s="78" t="s">
        <v>220</v>
      </c>
      <c r="B31" s="83" t="s">
        <v>278</v>
      </c>
      <c r="C31" s="83" t="s">
        <v>379</v>
      </c>
      <c r="D31" s="83" t="s">
        <v>46</v>
      </c>
      <c r="E31" s="83" t="s">
        <v>39</v>
      </c>
      <c r="F31" s="83" t="s">
        <v>194</v>
      </c>
      <c r="G31" s="68">
        <v>3</v>
      </c>
      <c r="H31" s="88">
        <v>70</v>
      </c>
      <c r="I31" s="88">
        <v>70</v>
      </c>
      <c r="J31" s="88">
        <v>140</v>
      </c>
      <c r="K31" s="88">
        <v>420</v>
      </c>
      <c r="L31" s="88">
        <v>30</v>
      </c>
      <c r="M31" s="88">
        <v>70</v>
      </c>
      <c r="N31" s="93">
        <f>SUM(H31:M31)</f>
        <v>800</v>
      </c>
      <c r="O31" s="88">
        <v>800</v>
      </c>
      <c r="P31" s="101">
        <v>150</v>
      </c>
      <c r="Q31" s="73" t="s">
        <v>398</v>
      </c>
      <c r="R31" s="98">
        <f>IFERROR(N31+IF(ISNUMBER(O31),O31,0)+IF(ISNUMBER(P31),P31,0),"")</f>
        <v>1750</v>
      </c>
      <c r="S31" s="107" t="s">
        <v>472</v>
      </c>
      <c r="T31"/>
      <c r="U31"/>
      <c r="V31"/>
      <c r="W31"/>
      <c r="X31"/>
      <c r="Y31"/>
      <c r="Z31"/>
    </row>
    <row r="32" spans="1:26" ht="22" customHeight="1">
      <c r="A32" s="78" t="s">
        <v>473</v>
      </c>
      <c r="B32" s="83" t="s">
        <v>40</v>
      </c>
      <c r="C32" s="83" t="s">
        <v>36</v>
      </c>
      <c r="D32" s="83" t="s">
        <v>40</v>
      </c>
      <c r="E32" s="83" t="s">
        <v>36</v>
      </c>
      <c r="F32" s="83" t="s">
        <v>194</v>
      </c>
      <c r="G32" s="68"/>
      <c r="H32" s="88"/>
      <c r="I32" s="88"/>
      <c r="J32" s="88"/>
      <c r="K32" s="88"/>
      <c r="L32" s="88"/>
      <c r="M32" s="88"/>
      <c r="N32" s="93"/>
      <c r="O32" s="88"/>
      <c r="P32" s="101"/>
      <c r="Q32" s="73" t="s">
        <v>398</v>
      </c>
      <c r="R32" s="98"/>
      <c r="S32" s="107" t="s">
        <v>474</v>
      </c>
      <c r="T32"/>
      <c r="U32"/>
      <c r="V32"/>
      <c r="W32"/>
      <c r="X32"/>
      <c r="Y32"/>
      <c r="Z32"/>
    </row>
    <row r="33" spans="1:26" ht="22" customHeight="1">
      <c r="A33" s="234" t="s">
        <v>510</v>
      </c>
      <c r="B33" s="235"/>
      <c r="C33" s="235"/>
      <c r="D33" s="235"/>
      <c r="E33" s="235"/>
      <c r="F33" s="235"/>
      <c r="G33" s="235"/>
      <c r="H33" s="235"/>
      <c r="I33" s="235"/>
      <c r="J33" s="235"/>
      <c r="K33" s="235"/>
      <c r="L33" s="235"/>
      <c r="M33" s="235"/>
      <c r="N33" s="235"/>
      <c r="O33" s="235"/>
      <c r="P33" s="235"/>
      <c r="Q33" s="235"/>
      <c r="R33" s="235"/>
      <c r="S33" s="236"/>
      <c r="T33"/>
      <c r="U33"/>
      <c r="V33"/>
      <c r="W33"/>
      <c r="X33"/>
      <c r="Y33"/>
      <c r="Z33"/>
    </row>
    <row r="34" spans="1:26" ht="24" customHeight="1">
      <c r="A34" s="79" t="s">
        <v>475</v>
      </c>
      <c r="B34" s="84" t="s">
        <v>268</v>
      </c>
      <c r="C34" s="84" t="s">
        <v>380</v>
      </c>
      <c r="D34" s="84" t="s">
        <v>17</v>
      </c>
      <c r="E34" s="84" t="s">
        <v>35</v>
      </c>
      <c r="F34" s="84" t="s">
        <v>194</v>
      </c>
      <c r="G34" s="69">
        <v>3</v>
      </c>
      <c r="H34" s="89">
        <v>70</v>
      </c>
      <c r="I34" s="89">
        <v>70</v>
      </c>
      <c r="J34" s="89">
        <v>140</v>
      </c>
      <c r="K34" s="89">
        <v>400</v>
      </c>
      <c r="L34" s="89">
        <v>10</v>
      </c>
      <c r="M34" s="89">
        <v>70</v>
      </c>
      <c r="N34" s="94">
        <f>SUM(H34:M34)</f>
        <v>760</v>
      </c>
      <c r="O34" s="89">
        <v>2200</v>
      </c>
      <c r="P34" s="101">
        <v>2680</v>
      </c>
      <c r="Q34" s="74" t="s">
        <v>398</v>
      </c>
      <c r="R34" s="99">
        <f>IFERROR(N34+IF(ISNUMBER(O34),O34,0)+IF(ISNUMBER(P34),P34,0),"")</f>
        <v>5640</v>
      </c>
      <c r="S34" s="108" t="s">
        <v>143</v>
      </c>
      <c r="T34"/>
      <c r="U34"/>
      <c r="V34"/>
      <c r="W34"/>
      <c r="X34"/>
      <c r="Y34"/>
      <c r="Z34"/>
    </row>
    <row r="35" spans="1:26" ht="24" customHeight="1">
      <c r="A35" s="79" t="s">
        <v>214</v>
      </c>
      <c r="B35" s="84" t="s">
        <v>381</v>
      </c>
      <c r="C35" s="84" t="s">
        <v>380</v>
      </c>
      <c r="D35" s="84" t="s">
        <v>29</v>
      </c>
      <c r="E35" s="84" t="s">
        <v>79</v>
      </c>
      <c r="F35" s="84" t="s">
        <v>194</v>
      </c>
      <c r="G35" s="69">
        <v>10</v>
      </c>
      <c r="H35" s="89">
        <v>70</v>
      </c>
      <c r="I35" s="89">
        <v>70</v>
      </c>
      <c r="J35" s="89">
        <v>140</v>
      </c>
      <c r="K35" s="89">
        <v>300</v>
      </c>
      <c r="L35" s="89">
        <v>250</v>
      </c>
      <c r="M35" s="89">
        <v>70</v>
      </c>
      <c r="N35" s="94">
        <f>SUM(H35:M35)</f>
        <v>900</v>
      </c>
      <c r="O35" s="89">
        <v>2200</v>
      </c>
      <c r="P35" s="101">
        <v>1995</v>
      </c>
      <c r="Q35" s="74" t="s">
        <v>398</v>
      </c>
      <c r="R35" s="99">
        <f>IFERROR(N35+IF(ISNUMBER(O35),O35,0)+IF(ISNUMBER(P35),P35,0),"")</f>
        <v>5095</v>
      </c>
      <c r="S35" s="108" t="s">
        <v>143</v>
      </c>
      <c r="T35"/>
      <c r="U35"/>
      <c r="V35"/>
      <c r="W35"/>
      <c r="X35"/>
      <c r="Y35"/>
      <c r="Z35"/>
    </row>
    <row r="36" spans="1:26" ht="24" customHeight="1" thickBot="1">
      <c r="A36" s="193" t="s">
        <v>476</v>
      </c>
      <c r="B36" s="194" t="s">
        <v>74</v>
      </c>
      <c r="C36" s="194" t="s">
        <v>380</v>
      </c>
      <c r="D36" s="194" t="s">
        <v>29</v>
      </c>
      <c r="E36" s="194" t="s">
        <v>35</v>
      </c>
      <c r="F36" s="194" t="s">
        <v>194</v>
      </c>
      <c r="G36" s="194">
        <v>2</v>
      </c>
      <c r="H36" s="194">
        <v>70</v>
      </c>
      <c r="I36" s="194">
        <v>70</v>
      </c>
      <c r="J36" s="194">
        <v>140</v>
      </c>
      <c r="K36" s="194">
        <v>300</v>
      </c>
      <c r="L36" s="194">
        <v>30</v>
      </c>
      <c r="M36" s="194">
        <v>70</v>
      </c>
      <c r="N36" s="195">
        <f>SUM(H36:M36)</f>
        <v>680</v>
      </c>
      <c r="O36" s="194">
        <v>2200</v>
      </c>
      <c r="P36" s="196">
        <v>2785</v>
      </c>
      <c r="Q36" s="194" t="s">
        <v>398</v>
      </c>
      <c r="R36" s="197">
        <f>IFERROR(N36+IF(ISNUMBER(O36),O36,0)+IF(ISNUMBER(P36),P36,0),"")</f>
        <v>5665</v>
      </c>
      <c r="S36" s="198" t="s">
        <v>143</v>
      </c>
      <c r="T36"/>
      <c r="U36"/>
      <c r="V36"/>
      <c r="W36"/>
      <c r="X36"/>
      <c r="Y36"/>
      <c r="Z36"/>
    </row>
    <row r="37" spans="1:26" ht="15">
      <c r="A37"/>
      <c r="B37"/>
      <c r="C37"/>
      <c r="D37"/>
      <c r="E37"/>
      <c r="F37"/>
      <c r="G37"/>
      <c r="H37"/>
      <c r="I37"/>
      <c r="J37"/>
      <c r="K37"/>
      <c r="L37"/>
      <c r="M37"/>
      <c r="N37"/>
      <c r="O37"/>
      <c r="P37"/>
      <c r="Q37"/>
      <c r="R37"/>
      <c r="S37"/>
      <c r="T37"/>
      <c r="U37"/>
      <c r="V37"/>
      <c r="W37"/>
      <c r="X37"/>
      <c r="Y37"/>
      <c r="Z37"/>
    </row>
    <row r="38" spans="1:26" ht="15">
      <c r="A38"/>
      <c r="B38"/>
      <c r="C38"/>
      <c r="D38"/>
      <c r="E38"/>
      <c r="F38"/>
      <c r="G38"/>
      <c r="H38"/>
      <c r="I38"/>
      <c r="J38"/>
      <c r="K38"/>
      <c r="L38"/>
      <c r="M38"/>
      <c r="N38"/>
      <c r="O38"/>
      <c r="P38"/>
      <c r="Q38"/>
      <c r="R38"/>
      <c r="S38"/>
      <c r="T38"/>
      <c r="U38"/>
      <c r="V38"/>
      <c r="W38"/>
      <c r="X38"/>
      <c r="Y38"/>
      <c r="Z38"/>
    </row>
    <row r="39" spans="1:26" ht="15">
      <c r="A39"/>
      <c r="B39"/>
      <c r="C39"/>
      <c r="D39"/>
      <c r="E39"/>
      <c r="F39"/>
      <c r="G39"/>
      <c r="H39"/>
      <c r="I39"/>
      <c r="J39"/>
      <c r="K39"/>
      <c r="L39"/>
      <c r="M39"/>
      <c r="N39"/>
      <c r="O39"/>
      <c r="P39"/>
      <c r="Q39"/>
      <c r="R39"/>
      <c r="S39"/>
      <c r="T39"/>
      <c r="U39"/>
      <c r="V39"/>
      <c r="W39"/>
      <c r="X39"/>
      <c r="Y39"/>
      <c r="Z39"/>
    </row>
    <row r="40" spans="1:26" ht="15">
      <c r="A40"/>
      <c r="B40"/>
      <c r="C40"/>
      <c r="D40"/>
      <c r="E40"/>
      <c r="F40"/>
      <c r="G40"/>
      <c r="H40"/>
      <c r="I40"/>
      <c r="J40"/>
      <c r="K40"/>
      <c r="L40"/>
      <c r="M40"/>
      <c r="N40"/>
      <c r="O40"/>
      <c r="P40"/>
      <c r="Q40"/>
      <c r="R40"/>
      <c r="S40"/>
      <c r="T40"/>
      <c r="U40"/>
      <c r="V40"/>
      <c r="W40"/>
      <c r="X40"/>
      <c r="Y40"/>
      <c r="Z40"/>
    </row>
  </sheetData>
  <protectedRanges>
    <protectedRange sqref="P3:P7" name="区域1_1_4"/>
    <protectedRange sqref="I6:M6" name="区域1_1_3_2"/>
    <protectedRange sqref="Q3:S3 P8:Q12 R4:S31 Q4:Q7" name="区域1_1_3_2_1"/>
    <protectedRange sqref="P13:Q17" name="区域1_1_3_2_1_1"/>
    <protectedRange sqref="G13:M14" name="区域1_1_2_2"/>
    <protectedRange sqref="P18:Q19 Q23:Q31" name="区域1_1_4_1"/>
    <protectedRange sqref="P20:Q22 P23:P31" name="区域1_1_4_2"/>
    <protectedRange sqref="I24 L24:M24 K25:K31 G24:G31" name="区域1_1_2_2_1"/>
    <protectedRange sqref="G22 I22:M22" name="区域1_1_3_2_2"/>
  </protectedRanges>
  <mergeCells count="6">
    <mergeCell ref="A33:S33"/>
    <mergeCell ref="A2:S2"/>
    <mergeCell ref="A5:S5"/>
    <mergeCell ref="A18:S18"/>
    <mergeCell ref="A24:S24"/>
    <mergeCell ref="A27:S27"/>
  </mergeCells>
  <phoneticPr fontId="7"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1E300-F142-4533-B59A-E020A252833E}">
  <dimension ref="A1:S45"/>
  <sheetViews>
    <sheetView topLeftCell="D1" zoomScale="90" zoomScaleNormal="90" workbookViewId="0">
      <pane ySplit="1" topLeftCell="A20" activePane="bottomLeft" state="frozen"/>
      <selection pane="bottomLeft" activeCell="H14" sqref="H14"/>
    </sheetView>
  </sheetViews>
  <sheetFormatPr baseColWidth="10" defaultColWidth="8.83203125" defaultRowHeight="15"/>
  <cols>
    <col min="1" max="1" width="21.6640625" customWidth="1"/>
    <col min="2" max="2" width="26.6640625" style="16" customWidth="1"/>
    <col min="3" max="3" width="26.6640625" style="14" customWidth="1"/>
    <col min="4" max="5" width="11.6640625" style="17" customWidth="1"/>
    <col min="6" max="6" width="10" style="17" customWidth="1"/>
    <col min="7" max="7" width="10.83203125" style="17" customWidth="1"/>
    <col min="8" max="8" width="9.1640625" style="17" customWidth="1"/>
    <col min="9" max="9" width="8.33203125" style="17" customWidth="1"/>
    <col min="10" max="10" width="9.1640625" style="17" customWidth="1"/>
    <col min="11" max="12" width="10" style="17" customWidth="1"/>
    <col min="13" max="13" width="8.33203125" style="17" customWidth="1"/>
    <col min="14" max="14" width="12.5" style="17" customWidth="1"/>
    <col min="15" max="15" width="10.83203125" style="25" customWidth="1"/>
    <col min="16" max="16" width="11.6640625" style="17" customWidth="1"/>
    <col min="17" max="17" width="13.33203125" style="24" customWidth="1"/>
    <col min="18" max="18" width="13.33203125" customWidth="1"/>
    <col min="19" max="19" width="14.1640625" customWidth="1"/>
  </cols>
  <sheetData>
    <row r="1" spans="1:19" ht="20" customHeight="1" thickBot="1">
      <c r="A1" s="176" t="s">
        <v>253</v>
      </c>
      <c r="B1" s="177" t="s">
        <v>1</v>
      </c>
      <c r="C1" s="177" t="s">
        <v>2</v>
      </c>
      <c r="D1" s="177" t="s">
        <v>254</v>
      </c>
      <c r="E1" s="177" t="s">
        <v>255</v>
      </c>
      <c r="F1" s="177" t="s">
        <v>190</v>
      </c>
      <c r="G1" s="177" t="s">
        <v>191</v>
      </c>
      <c r="H1" s="177" t="s">
        <v>256</v>
      </c>
      <c r="I1" s="177" t="s">
        <v>257</v>
      </c>
      <c r="J1" s="177" t="s">
        <v>258</v>
      </c>
      <c r="K1" s="177" t="s">
        <v>259</v>
      </c>
      <c r="L1" s="177" t="s">
        <v>260</v>
      </c>
      <c r="M1" s="177" t="s">
        <v>261</v>
      </c>
      <c r="N1" s="177" t="s">
        <v>291</v>
      </c>
      <c r="O1" s="177" t="s">
        <v>292</v>
      </c>
      <c r="P1" s="178" t="s">
        <v>262</v>
      </c>
      <c r="Q1" s="177" t="s">
        <v>263</v>
      </c>
      <c r="R1" s="177" t="s">
        <v>264</v>
      </c>
      <c r="S1" s="179" t="s">
        <v>293</v>
      </c>
    </row>
    <row r="2" spans="1:19" ht="22" customHeight="1">
      <c r="A2" s="237" t="s">
        <v>494</v>
      </c>
      <c r="B2" s="238"/>
      <c r="C2" s="238"/>
      <c r="D2" s="238"/>
      <c r="E2" s="238"/>
      <c r="F2" s="238"/>
      <c r="G2" s="238"/>
      <c r="H2" s="238"/>
      <c r="I2" s="238"/>
      <c r="J2" s="238"/>
      <c r="K2" s="238"/>
      <c r="L2" s="238"/>
      <c r="M2" s="238"/>
      <c r="N2" s="238"/>
      <c r="O2" s="238"/>
      <c r="P2" s="238"/>
      <c r="Q2" s="238"/>
      <c r="R2" s="238"/>
      <c r="S2" s="239"/>
    </row>
    <row r="3" spans="1:19" ht="24" customHeight="1">
      <c r="A3" s="154" t="s">
        <v>192</v>
      </c>
      <c r="B3" s="155" t="s">
        <v>268</v>
      </c>
      <c r="C3" s="155" t="s">
        <v>269</v>
      </c>
      <c r="D3" s="155" t="s">
        <v>17</v>
      </c>
      <c r="E3" s="155" t="s">
        <v>31</v>
      </c>
      <c r="F3" s="155" t="s">
        <v>194</v>
      </c>
      <c r="G3" s="156">
        <v>22</v>
      </c>
      <c r="H3" s="157">
        <v>70</v>
      </c>
      <c r="I3" s="157">
        <v>70</v>
      </c>
      <c r="J3" s="157">
        <v>140</v>
      </c>
      <c r="K3" s="157">
        <v>400</v>
      </c>
      <c r="L3" s="157">
        <v>10</v>
      </c>
      <c r="M3" s="157">
        <v>70</v>
      </c>
      <c r="N3" s="158">
        <f>SUM(H3:M3)</f>
        <v>760</v>
      </c>
      <c r="O3" s="157">
        <v>950</v>
      </c>
      <c r="P3" s="101">
        <v>2800</v>
      </c>
      <c r="Q3" s="159" t="s">
        <v>151</v>
      </c>
      <c r="R3" s="160">
        <f>IFERROR(N3+IF(ISNUMBER(O3),O3,0)+IF(ISNUMBER(P3),P3,0),"")</f>
        <v>4510</v>
      </c>
      <c r="S3" s="161" t="s">
        <v>129</v>
      </c>
    </row>
    <row r="4" spans="1:19" ht="24" customHeight="1">
      <c r="A4" s="154" t="s">
        <v>198</v>
      </c>
      <c r="B4" s="155" t="s">
        <v>270</v>
      </c>
      <c r="C4" s="155" t="s">
        <v>269</v>
      </c>
      <c r="D4" s="155" t="s">
        <v>17</v>
      </c>
      <c r="E4" s="155" t="s">
        <v>31</v>
      </c>
      <c r="F4" s="155" t="s">
        <v>199</v>
      </c>
      <c r="G4" s="156">
        <v>4</v>
      </c>
      <c r="H4" s="157">
        <v>70</v>
      </c>
      <c r="I4" s="157">
        <v>70</v>
      </c>
      <c r="J4" s="157">
        <v>140</v>
      </c>
      <c r="K4" s="157">
        <v>200</v>
      </c>
      <c r="L4" s="157">
        <v>20</v>
      </c>
      <c r="M4" s="157">
        <v>50</v>
      </c>
      <c r="N4" s="158">
        <f>SUM(H4:M4)</f>
        <v>550</v>
      </c>
      <c r="O4" s="157">
        <v>950</v>
      </c>
      <c r="P4" s="101">
        <v>4294</v>
      </c>
      <c r="Q4" s="159" t="s">
        <v>398</v>
      </c>
      <c r="R4" s="160">
        <f>IFERROR(N4+IF(ISNUMBER(O4),O4,0)+IF(ISNUMBER(P4),P4,0),"")</f>
        <v>5794</v>
      </c>
      <c r="S4" s="161" t="s">
        <v>141</v>
      </c>
    </row>
    <row r="5" spans="1:19" ht="22" customHeight="1">
      <c r="A5" s="240" t="s">
        <v>495</v>
      </c>
      <c r="B5" s="241"/>
      <c r="C5" s="241"/>
      <c r="D5" s="241"/>
      <c r="E5" s="241"/>
      <c r="F5" s="241"/>
      <c r="G5" s="241"/>
      <c r="H5" s="241"/>
      <c r="I5" s="241"/>
      <c r="J5" s="241"/>
      <c r="K5" s="241"/>
      <c r="L5" s="241"/>
      <c r="M5" s="241"/>
      <c r="N5" s="241"/>
      <c r="O5" s="241"/>
      <c r="P5" s="241"/>
      <c r="Q5" s="241"/>
      <c r="R5" s="241"/>
      <c r="S5" s="242"/>
    </row>
    <row r="6" spans="1:19" ht="24" customHeight="1">
      <c r="A6" s="76" t="s">
        <v>228</v>
      </c>
      <c r="B6" s="81" t="s">
        <v>40</v>
      </c>
      <c r="C6" s="81" t="s">
        <v>229</v>
      </c>
      <c r="D6" s="81" t="s">
        <v>39</v>
      </c>
      <c r="E6" s="81" t="s">
        <v>105</v>
      </c>
      <c r="F6" s="81" t="s">
        <v>230</v>
      </c>
      <c r="G6" s="66">
        <v>11</v>
      </c>
      <c r="H6" s="86">
        <v>70</v>
      </c>
      <c r="I6" s="86">
        <v>50</v>
      </c>
      <c r="J6" s="86">
        <v>260</v>
      </c>
      <c r="K6" s="86">
        <v>250</v>
      </c>
      <c r="L6" s="86">
        <v>90</v>
      </c>
      <c r="M6" s="86">
        <v>80</v>
      </c>
      <c r="N6" s="91">
        <f t="shared" ref="N6:N20" si="0">SUM(H6:M6)</f>
        <v>800</v>
      </c>
      <c r="O6" s="86" t="s">
        <v>169</v>
      </c>
      <c r="P6" s="101">
        <v>3050</v>
      </c>
      <c r="Q6" s="71" t="s">
        <v>398</v>
      </c>
      <c r="R6" s="96">
        <f t="shared" ref="R6:R20" si="1">IFERROR(N6+IF(ISNUMBER(O6),O6,0)+IF(ISNUMBER(P6),P6,0),"")</f>
        <v>3850</v>
      </c>
      <c r="S6" s="105" t="s">
        <v>141</v>
      </c>
    </row>
    <row r="7" spans="1:19" ht="24" customHeight="1">
      <c r="A7" s="76" t="s">
        <v>231</v>
      </c>
      <c r="B7" s="81" t="s">
        <v>232</v>
      </c>
      <c r="C7" s="81" t="s">
        <v>233</v>
      </c>
      <c r="D7" s="81" t="s">
        <v>56</v>
      </c>
      <c r="E7" s="81" t="s">
        <v>105</v>
      </c>
      <c r="F7" s="81" t="s">
        <v>230</v>
      </c>
      <c r="G7" s="66">
        <v>3</v>
      </c>
      <c r="H7" s="86">
        <v>70</v>
      </c>
      <c r="I7" s="86">
        <v>50</v>
      </c>
      <c r="J7" s="86">
        <v>260</v>
      </c>
      <c r="K7" s="86">
        <v>325</v>
      </c>
      <c r="L7" s="86">
        <v>90</v>
      </c>
      <c r="M7" s="86">
        <v>80</v>
      </c>
      <c r="N7" s="91">
        <f t="shared" si="0"/>
        <v>875</v>
      </c>
      <c r="O7" s="86" t="s">
        <v>169</v>
      </c>
      <c r="P7" s="101">
        <v>2995</v>
      </c>
      <c r="Q7" s="71" t="s">
        <v>398</v>
      </c>
      <c r="R7" s="96">
        <f t="shared" si="1"/>
        <v>3870</v>
      </c>
      <c r="S7" s="105" t="s">
        <v>141</v>
      </c>
    </row>
    <row r="8" spans="1:19" ht="24" customHeight="1">
      <c r="A8" s="76" t="s">
        <v>234</v>
      </c>
      <c r="B8" s="81" t="s">
        <v>94</v>
      </c>
      <c r="C8" s="81" t="s">
        <v>235</v>
      </c>
      <c r="D8" s="81" t="s">
        <v>39</v>
      </c>
      <c r="E8" s="81" t="s">
        <v>105</v>
      </c>
      <c r="F8" s="81" t="s">
        <v>230</v>
      </c>
      <c r="G8" s="66">
        <v>0.5</v>
      </c>
      <c r="H8" s="86">
        <v>70</v>
      </c>
      <c r="I8" s="86">
        <v>50</v>
      </c>
      <c r="J8" s="86">
        <v>260</v>
      </c>
      <c r="K8" s="86">
        <v>250</v>
      </c>
      <c r="L8" s="86">
        <v>90</v>
      </c>
      <c r="M8" s="86">
        <v>80</v>
      </c>
      <c r="N8" s="91">
        <f t="shared" si="0"/>
        <v>800</v>
      </c>
      <c r="O8" s="86" t="s">
        <v>169</v>
      </c>
      <c r="P8" s="101">
        <v>3200</v>
      </c>
      <c r="Q8" s="71" t="s">
        <v>398</v>
      </c>
      <c r="R8" s="96">
        <f t="shared" si="1"/>
        <v>4000</v>
      </c>
      <c r="S8" s="105" t="s">
        <v>414</v>
      </c>
    </row>
    <row r="9" spans="1:19" ht="24" customHeight="1">
      <c r="A9" s="76" t="s">
        <v>236</v>
      </c>
      <c r="B9" s="81" t="s">
        <v>102</v>
      </c>
      <c r="C9" s="81" t="s">
        <v>233</v>
      </c>
      <c r="D9" s="81" t="s">
        <v>29</v>
      </c>
      <c r="E9" s="81" t="s">
        <v>105</v>
      </c>
      <c r="F9" s="81" t="s">
        <v>230</v>
      </c>
      <c r="G9" s="66">
        <v>2</v>
      </c>
      <c r="H9" s="86">
        <v>70</v>
      </c>
      <c r="I9" s="86">
        <v>80</v>
      </c>
      <c r="J9" s="86">
        <v>160</v>
      </c>
      <c r="K9" s="86">
        <v>1000</v>
      </c>
      <c r="L9" s="86">
        <v>50</v>
      </c>
      <c r="M9" s="86">
        <v>75</v>
      </c>
      <c r="N9" s="91">
        <f t="shared" si="0"/>
        <v>1435</v>
      </c>
      <c r="O9" s="86" t="s">
        <v>169</v>
      </c>
      <c r="P9" s="101">
        <v>2500</v>
      </c>
      <c r="Q9" s="71" t="s">
        <v>398</v>
      </c>
      <c r="R9" s="96">
        <f t="shared" si="1"/>
        <v>3935</v>
      </c>
      <c r="S9" s="105" t="s">
        <v>140</v>
      </c>
    </row>
    <row r="10" spans="1:19" ht="24" customHeight="1">
      <c r="A10" s="76" t="s">
        <v>237</v>
      </c>
      <c r="B10" s="81" t="s">
        <v>103</v>
      </c>
      <c r="C10" s="81" t="s">
        <v>233</v>
      </c>
      <c r="D10" s="81" t="s">
        <v>227</v>
      </c>
      <c r="E10" s="81" t="s">
        <v>105</v>
      </c>
      <c r="F10" s="81" t="s">
        <v>230</v>
      </c>
      <c r="G10" s="66">
        <v>1</v>
      </c>
      <c r="H10" s="86">
        <v>70</v>
      </c>
      <c r="I10" s="86">
        <v>35</v>
      </c>
      <c r="J10" s="86">
        <v>145</v>
      </c>
      <c r="K10" s="86">
        <v>350</v>
      </c>
      <c r="L10" s="86">
        <v>150</v>
      </c>
      <c r="M10" s="86">
        <v>50</v>
      </c>
      <c r="N10" s="91">
        <f t="shared" si="0"/>
        <v>800</v>
      </c>
      <c r="O10" s="86" t="s">
        <v>169</v>
      </c>
      <c r="P10" s="101">
        <v>2800</v>
      </c>
      <c r="Q10" s="71" t="s">
        <v>398</v>
      </c>
      <c r="R10" s="96">
        <f t="shared" si="1"/>
        <v>3600</v>
      </c>
      <c r="S10" s="105" t="s">
        <v>140</v>
      </c>
    </row>
    <row r="11" spans="1:19" ht="24" customHeight="1">
      <c r="A11" s="76" t="s">
        <v>238</v>
      </c>
      <c r="B11" s="81" t="s">
        <v>82</v>
      </c>
      <c r="C11" s="81" t="s">
        <v>235</v>
      </c>
      <c r="D11" s="81" t="s">
        <v>17</v>
      </c>
      <c r="E11" s="81" t="s">
        <v>105</v>
      </c>
      <c r="F11" s="81" t="s">
        <v>230</v>
      </c>
      <c r="G11" s="66">
        <v>2</v>
      </c>
      <c r="H11" s="86">
        <v>70</v>
      </c>
      <c r="I11" s="86">
        <v>70</v>
      </c>
      <c r="J11" s="86">
        <v>145</v>
      </c>
      <c r="K11" s="86">
        <v>550</v>
      </c>
      <c r="L11" s="86">
        <v>15</v>
      </c>
      <c r="M11" s="86">
        <v>60</v>
      </c>
      <c r="N11" s="91">
        <f t="shared" si="0"/>
        <v>910</v>
      </c>
      <c r="O11" s="86" t="s">
        <v>169</v>
      </c>
      <c r="P11" s="101">
        <v>2695</v>
      </c>
      <c r="Q11" s="71" t="s">
        <v>398</v>
      </c>
      <c r="R11" s="96">
        <f t="shared" si="1"/>
        <v>3605</v>
      </c>
      <c r="S11" s="105" t="s">
        <v>141</v>
      </c>
    </row>
    <row r="12" spans="1:19" ht="24" customHeight="1">
      <c r="A12" s="76" t="s">
        <v>240</v>
      </c>
      <c r="B12" s="81" t="s">
        <v>83</v>
      </c>
      <c r="C12" s="81" t="s">
        <v>235</v>
      </c>
      <c r="D12" s="81" t="s">
        <v>17</v>
      </c>
      <c r="E12" s="81" t="s">
        <v>105</v>
      </c>
      <c r="F12" s="81" t="s">
        <v>230</v>
      </c>
      <c r="G12" s="66">
        <v>1</v>
      </c>
      <c r="H12" s="86">
        <v>70</v>
      </c>
      <c r="I12" s="86">
        <v>70</v>
      </c>
      <c r="J12" s="86">
        <v>145</v>
      </c>
      <c r="K12" s="86">
        <v>550</v>
      </c>
      <c r="L12" s="86">
        <v>15</v>
      </c>
      <c r="M12" s="86">
        <v>60</v>
      </c>
      <c r="N12" s="91">
        <f t="shared" si="0"/>
        <v>910</v>
      </c>
      <c r="O12" s="86" t="s">
        <v>169</v>
      </c>
      <c r="P12" s="101">
        <v>2695</v>
      </c>
      <c r="Q12" s="71" t="s">
        <v>398</v>
      </c>
      <c r="R12" s="96">
        <f t="shared" si="1"/>
        <v>3605</v>
      </c>
      <c r="S12" s="105" t="s">
        <v>141</v>
      </c>
    </row>
    <row r="13" spans="1:19" ht="24" customHeight="1">
      <c r="A13" s="76" t="s">
        <v>241</v>
      </c>
      <c r="B13" s="81" t="s">
        <v>84</v>
      </c>
      <c r="C13" s="81" t="s">
        <v>235</v>
      </c>
      <c r="D13" s="81" t="s">
        <v>17</v>
      </c>
      <c r="E13" s="81" t="s">
        <v>105</v>
      </c>
      <c r="F13" s="81" t="s">
        <v>230</v>
      </c>
      <c r="G13" s="66">
        <v>1</v>
      </c>
      <c r="H13" s="86">
        <v>70</v>
      </c>
      <c r="I13" s="86">
        <v>70</v>
      </c>
      <c r="J13" s="86">
        <v>145</v>
      </c>
      <c r="K13" s="86">
        <v>550</v>
      </c>
      <c r="L13" s="86">
        <v>15</v>
      </c>
      <c r="M13" s="86">
        <v>60</v>
      </c>
      <c r="N13" s="91">
        <f t="shared" si="0"/>
        <v>910</v>
      </c>
      <c r="O13" s="86" t="s">
        <v>169</v>
      </c>
      <c r="P13" s="101">
        <v>2695</v>
      </c>
      <c r="Q13" s="71" t="s">
        <v>398</v>
      </c>
      <c r="R13" s="96">
        <f t="shared" si="1"/>
        <v>3605</v>
      </c>
      <c r="S13" s="105" t="s">
        <v>141</v>
      </c>
    </row>
    <row r="14" spans="1:19" ht="24" customHeight="1">
      <c r="A14" s="76" t="s">
        <v>242</v>
      </c>
      <c r="B14" s="81" t="s">
        <v>85</v>
      </c>
      <c r="C14" s="81" t="s">
        <v>235</v>
      </c>
      <c r="D14" s="81" t="s">
        <v>17</v>
      </c>
      <c r="E14" s="81" t="s">
        <v>105</v>
      </c>
      <c r="F14" s="81" t="s">
        <v>230</v>
      </c>
      <c r="G14" s="66">
        <v>2</v>
      </c>
      <c r="H14" s="86">
        <v>70</v>
      </c>
      <c r="I14" s="86">
        <v>70</v>
      </c>
      <c r="J14" s="86">
        <v>145</v>
      </c>
      <c r="K14" s="86">
        <v>250</v>
      </c>
      <c r="L14" s="86">
        <v>15</v>
      </c>
      <c r="M14" s="86">
        <v>60</v>
      </c>
      <c r="N14" s="91">
        <f t="shared" si="0"/>
        <v>610</v>
      </c>
      <c r="O14" s="86" t="s">
        <v>169</v>
      </c>
      <c r="P14" s="101">
        <v>2695</v>
      </c>
      <c r="Q14" s="71" t="s">
        <v>398</v>
      </c>
      <c r="R14" s="96">
        <f t="shared" si="1"/>
        <v>3305</v>
      </c>
      <c r="S14" s="105" t="s">
        <v>141</v>
      </c>
    </row>
    <row r="15" spans="1:19" ht="24" customHeight="1">
      <c r="A15" s="76" t="s">
        <v>243</v>
      </c>
      <c r="B15" s="81" t="s">
        <v>86</v>
      </c>
      <c r="C15" s="81" t="s">
        <v>235</v>
      </c>
      <c r="D15" s="81" t="s">
        <v>17</v>
      </c>
      <c r="E15" s="81" t="s">
        <v>105</v>
      </c>
      <c r="F15" s="81" t="s">
        <v>230</v>
      </c>
      <c r="G15" s="66">
        <v>2</v>
      </c>
      <c r="H15" s="86">
        <v>70</v>
      </c>
      <c r="I15" s="86">
        <v>70</v>
      </c>
      <c r="J15" s="86">
        <v>145</v>
      </c>
      <c r="K15" s="86">
        <v>200</v>
      </c>
      <c r="L15" s="86">
        <v>15</v>
      </c>
      <c r="M15" s="86">
        <v>50</v>
      </c>
      <c r="N15" s="91">
        <f t="shared" si="0"/>
        <v>550</v>
      </c>
      <c r="O15" s="86" t="s">
        <v>169</v>
      </c>
      <c r="P15" s="101">
        <v>2695</v>
      </c>
      <c r="Q15" s="71" t="s">
        <v>398</v>
      </c>
      <c r="R15" s="96">
        <f t="shared" si="1"/>
        <v>3245</v>
      </c>
      <c r="S15" s="105" t="s">
        <v>141</v>
      </c>
    </row>
    <row r="16" spans="1:19" ht="24" customHeight="1">
      <c r="A16" s="76" t="s">
        <v>244</v>
      </c>
      <c r="B16" s="81" t="s">
        <v>87</v>
      </c>
      <c r="C16" s="81" t="s">
        <v>235</v>
      </c>
      <c r="D16" s="81" t="s">
        <v>17</v>
      </c>
      <c r="E16" s="81" t="s">
        <v>105</v>
      </c>
      <c r="F16" s="81" t="s">
        <v>230</v>
      </c>
      <c r="G16" s="66">
        <v>0.5</v>
      </c>
      <c r="H16" s="86">
        <v>70</v>
      </c>
      <c r="I16" s="86">
        <v>70</v>
      </c>
      <c r="J16" s="86">
        <v>145</v>
      </c>
      <c r="K16" s="86">
        <v>1550</v>
      </c>
      <c r="L16" s="86">
        <v>15</v>
      </c>
      <c r="M16" s="86">
        <v>60</v>
      </c>
      <c r="N16" s="91">
        <f t="shared" si="0"/>
        <v>1910</v>
      </c>
      <c r="O16" s="86" t="s">
        <v>169</v>
      </c>
      <c r="P16" s="101">
        <v>2695</v>
      </c>
      <c r="Q16" s="71" t="s">
        <v>398</v>
      </c>
      <c r="R16" s="96">
        <f t="shared" si="1"/>
        <v>4605</v>
      </c>
      <c r="S16" s="105" t="s">
        <v>141</v>
      </c>
    </row>
    <row r="17" spans="1:19" ht="24" customHeight="1">
      <c r="A17" s="76" t="s">
        <v>245</v>
      </c>
      <c r="B17" s="81" t="s">
        <v>97</v>
      </c>
      <c r="C17" s="81" t="s">
        <v>233</v>
      </c>
      <c r="D17" s="81" t="s">
        <v>17</v>
      </c>
      <c r="E17" s="81" t="s">
        <v>105</v>
      </c>
      <c r="F17" s="81" t="s">
        <v>230</v>
      </c>
      <c r="G17" s="66">
        <v>4</v>
      </c>
      <c r="H17" s="86">
        <v>70</v>
      </c>
      <c r="I17" s="86">
        <v>70</v>
      </c>
      <c r="J17" s="86">
        <v>145</v>
      </c>
      <c r="K17" s="86">
        <v>350</v>
      </c>
      <c r="L17" s="86">
        <v>15</v>
      </c>
      <c r="M17" s="86">
        <v>60</v>
      </c>
      <c r="N17" s="91">
        <f t="shared" si="0"/>
        <v>710</v>
      </c>
      <c r="O17" s="86" t="s">
        <v>169</v>
      </c>
      <c r="P17" s="101">
        <v>2695</v>
      </c>
      <c r="Q17" s="71" t="s">
        <v>398</v>
      </c>
      <c r="R17" s="96">
        <f t="shared" si="1"/>
        <v>3405</v>
      </c>
      <c r="S17" s="105" t="s">
        <v>141</v>
      </c>
    </row>
    <row r="18" spans="1:19" ht="24" customHeight="1">
      <c r="A18" s="76" t="s">
        <v>248</v>
      </c>
      <c r="B18" s="81" t="s">
        <v>98</v>
      </c>
      <c r="C18" s="81" t="s">
        <v>233</v>
      </c>
      <c r="D18" s="81" t="s">
        <v>17</v>
      </c>
      <c r="E18" s="81" t="s">
        <v>105</v>
      </c>
      <c r="F18" s="81" t="s">
        <v>230</v>
      </c>
      <c r="G18" s="66">
        <v>1</v>
      </c>
      <c r="H18" s="86">
        <v>70</v>
      </c>
      <c r="I18" s="86">
        <v>70</v>
      </c>
      <c r="J18" s="86">
        <v>145</v>
      </c>
      <c r="K18" s="86">
        <v>50</v>
      </c>
      <c r="L18" s="86">
        <v>15</v>
      </c>
      <c r="M18" s="86">
        <v>60</v>
      </c>
      <c r="N18" s="91">
        <f t="shared" si="0"/>
        <v>410</v>
      </c>
      <c r="O18" s="86" t="s">
        <v>169</v>
      </c>
      <c r="P18" s="101">
        <v>2695</v>
      </c>
      <c r="Q18" s="71" t="s">
        <v>398</v>
      </c>
      <c r="R18" s="96">
        <f t="shared" si="1"/>
        <v>3105</v>
      </c>
      <c r="S18" s="105" t="s">
        <v>141</v>
      </c>
    </row>
    <row r="19" spans="1:19" ht="24" customHeight="1">
      <c r="A19" s="76" t="s">
        <v>251</v>
      </c>
      <c r="B19" s="81" t="s">
        <v>99</v>
      </c>
      <c r="C19" s="81" t="s">
        <v>233</v>
      </c>
      <c r="D19" s="81" t="s">
        <v>17</v>
      </c>
      <c r="E19" s="81" t="s">
        <v>105</v>
      </c>
      <c r="F19" s="81" t="s">
        <v>230</v>
      </c>
      <c r="G19" s="66">
        <v>2</v>
      </c>
      <c r="H19" s="86">
        <v>70</v>
      </c>
      <c r="I19" s="86">
        <v>70</v>
      </c>
      <c r="J19" s="86">
        <v>145</v>
      </c>
      <c r="K19" s="86">
        <v>550</v>
      </c>
      <c r="L19" s="86">
        <v>15</v>
      </c>
      <c r="M19" s="86">
        <v>60</v>
      </c>
      <c r="N19" s="91">
        <f t="shared" si="0"/>
        <v>910</v>
      </c>
      <c r="O19" s="86" t="s">
        <v>169</v>
      </c>
      <c r="P19" s="101">
        <v>2695</v>
      </c>
      <c r="Q19" s="71" t="s">
        <v>398</v>
      </c>
      <c r="R19" s="96">
        <f t="shared" si="1"/>
        <v>3605</v>
      </c>
      <c r="S19" s="105" t="s">
        <v>141</v>
      </c>
    </row>
    <row r="20" spans="1:19" ht="24" customHeight="1">
      <c r="A20" s="76" t="s">
        <v>252</v>
      </c>
      <c r="B20" s="81" t="s">
        <v>100</v>
      </c>
      <c r="C20" s="81" t="s">
        <v>233</v>
      </c>
      <c r="D20" s="81" t="s">
        <v>17</v>
      </c>
      <c r="E20" s="81" t="s">
        <v>105</v>
      </c>
      <c r="F20" s="81" t="s">
        <v>230</v>
      </c>
      <c r="G20" s="66">
        <v>2</v>
      </c>
      <c r="H20" s="86">
        <v>70</v>
      </c>
      <c r="I20" s="86">
        <v>70</v>
      </c>
      <c r="J20" s="86">
        <v>145</v>
      </c>
      <c r="K20" s="86">
        <v>1500</v>
      </c>
      <c r="L20" s="86">
        <v>15</v>
      </c>
      <c r="M20" s="86">
        <v>60</v>
      </c>
      <c r="N20" s="91">
        <f t="shared" si="0"/>
        <v>1860</v>
      </c>
      <c r="O20" s="86" t="s">
        <v>169</v>
      </c>
      <c r="P20" s="101">
        <v>2695</v>
      </c>
      <c r="Q20" s="71" t="s">
        <v>398</v>
      </c>
      <c r="R20" s="96">
        <f t="shared" si="1"/>
        <v>4555</v>
      </c>
      <c r="S20" s="105" t="s">
        <v>141</v>
      </c>
    </row>
    <row r="21" spans="1:19" ht="22" customHeight="1">
      <c r="A21" s="243" t="s">
        <v>492</v>
      </c>
      <c r="B21" s="244"/>
      <c r="C21" s="244"/>
      <c r="D21" s="244"/>
      <c r="E21" s="244"/>
      <c r="F21" s="244"/>
      <c r="G21" s="244"/>
      <c r="H21" s="244"/>
      <c r="I21" s="244"/>
      <c r="J21" s="244"/>
      <c r="K21" s="244"/>
      <c r="L21" s="244"/>
      <c r="M21" s="244"/>
      <c r="N21" s="244"/>
      <c r="O21" s="244"/>
      <c r="P21" s="244"/>
      <c r="Q21" s="244"/>
      <c r="R21" s="244"/>
      <c r="S21" s="245"/>
    </row>
    <row r="22" spans="1:19" ht="24" customHeight="1">
      <c r="A22" s="77" t="s">
        <v>201</v>
      </c>
      <c r="B22" s="82" t="s">
        <v>268</v>
      </c>
      <c r="C22" s="82" t="s">
        <v>371</v>
      </c>
      <c r="D22" s="82" t="s">
        <v>17</v>
      </c>
      <c r="E22" s="82" t="s">
        <v>18</v>
      </c>
      <c r="F22" s="82" t="s">
        <v>199</v>
      </c>
      <c r="G22" s="67">
        <v>2</v>
      </c>
      <c r="H22" s="87">
        <v>70</v>
      </c>
      <c r="I22" s="87">
        <v>70</v>
      </c>
      <c r="J22" s="87">
        <v>140</v>
      </c>
      <c r="K22" s="87">
        <v>400</v>
      </c>
      <c r="L22" s="87">
        <v>10</v>
      </c>
      <c r="M22" s="87">
        <v>70</v>
      </c>
      <c r="N22" s="92"/>
      <c r="O22" s="87">
        <v>2685</v>
      </c>
      <c r="P22" s="101">
        <v>3485</v>
      </c>
      <c r="Q22" s="72" t="s">
        <v>151</v>
      </c>
      <c r="R22" s="97"/>
      <c r="S22" s="106" t="s">
        <v>212</v>
      </c>
    </row>
    <row r="23" spans="1:19" ht="24" customHeight="1">
      <c r="A23" s="77" t="s">
        <v>204</v>
      </c>
      <c r="B23" s="82" t="s">
        <v>271</v>
      </c>
      <c r="C23" s="82" t="s">
        <v>372</v>
      </c>
      <c r="D23" s="82" t="s">
        <v>17</v>
      </c>
      <c r="E23" s="82" t="s">
        <v>23</v>
      </c>
      <c r="F23" s="82" t="s">
        <v>199</v>
      </c>
      <c r="G23" s="67">
        <v>0</v>
      </c>
      <c r="H23" s="87">
        <v>70</v>
      </c>
      <c r="I23" s="87">
        <v>70</v>
      </c>
      <c r="J23" s="87">
        <v>140</v>
      </c>
      <c r="K23" s="87">
        <v>250</v>
      </c>
      <c r="L23" s="87">
        <v>10</v>
      </c>
      <c r="M23" s="87">
        <v>70</v>
      </c>
      <c r="N23" s="92">
        <f>SUM(H23:M23)</f>
        <v>610</v>
      </c>
      <c r="O23" s="87">
        <v>885</v>
      </c>
      <c r="P23" s="101">
        <v>5935</v>
      </c>
      <c r="Q23" s="72" t="s">
        <v>398</v>
      </c>
      <c r="R23" s="97">
        <f>IFERROR(N23+IF(ISNUMBER(O23),O23,0)+IF(ISNUMBER(P23),P23,0),"")</f>
        <v>7430</v>
      </c>
      <c r="S23" s="106" t="s">
        <v>212</v>
      </c>
    </row>
    <row r="24" spans="1:19" ht="24" customHeight="1">
      <c r="A24" s="77" t="s">
        <v>205</v>
      </c>
      <c r="B24" s="82" t="s">
        <v>373</v>
      </c>
      <c r="C24" s="82" t="s">
        <v>374</v>
      </c>
      <c r="D24" s="82" t="s">
        <v>26</v>
      </c>
      <c r="E24" s="82" t="s">
        <v>27</v>
      </c>
      <c r="F24" s="82" t="s">
        <v>199</v>
      </c>
      <c r="G24" s="67">
        <v>0</v>
      </c>
      <c r="H24" s="87">
        <v>70</v>
      </c>
      <c r="I24" s="87">
        <v>70</v>
      </c>
      <c r="J24" s="87">
        <v>140</v>
      </c>
      <c r="K24" s="87">
        <v>300</v>
      </c>
      <c r="L24" s="87">
        <v>30</v>
      </c>
      <c r="M24" s="87">
        <v>70</v>
      </c>
      <c r="N24" s="92">
        <f>SUM(H24:M24)</f>
        <v>680</v>
      </c>
      <c r="O24" s="87">
        <v>2785</v>
      </c>
      <c r="P24" s="101">
        <v>6200</v>
      </c>
      <c r="Q24" s="72" t="s">
        <v>398</v>
      </c>
      <c r="R24" s="97">
        <f>IFERROR(N24+IF(ISNUMBER(O24),O24,0)+IF(ISNUMBER(P24),P24,0),"")</f>
        <v>9665</v>
      </c>
      <c r="S24" s="106" t="s">
        <v>212</v>
      </c>
    </row>
    <row r="25" spans="1:19" ht="24" customHeight="1">
      <c r="A25" s="77" t="s">
        <v>207</v>
      </c>
      <c r="B25" s="82" t="s">
        <v>283</v>
      </c>
      <c r="C25" s="82" t="s">
        <v>374</v>
      </c>
      <c r="D25" s="82" t="s">
        <v>29</v>
      </c>
      <c r="E25" s="82" t="s">
        <v>27</v>
      </c>
      <c r="F25" s="82" t="s">
        <v>199</v>
      </c>
      <c r="G25" s="67">
        <v>3</v>
      </c>
      <c r="H25" s="87">
        <v>70</v>
      </c>
      <c r="I25" s="87">
        <v>80</v>
      </c>
      <c r="J25" s="87">
        <v>160</v>
      </c>
      <c r="K25" s="87">
        <v>1000</v>
      </c>
      <c r="L25" s="87">
        <v>50</v>
      </c>
      <c r="M25" s="87">
        <v>75</v>
      </c>
      <c r="N25" s="92">
        <f>SUM(H25:M25)</f>
        <v>1435</v>
      </c>
      <c r="O25" s="87">
        <v>2785</v>
      </c>
      <c r="P25" s="101">
        <v>6500</v>
      </c>
      <c r="Q25" s="72" t="s">
        <v>398</v>
      </c>
      <c r="R25" s="97">
        <f>IFERROR(N25+IF(ISNUMBER(O25),O25,0)+IF(ISNUMBER(P25),P25,0),"")</f>
        <v>10720</v>
      </c>
      <c r="S25" s="106" t="s">
        <v>212</v>
      </c>
    </row>
    <row r="26" spans="1:19" ht="24" customHeight="1">
      <c r="A26" s="77" t="s">
        <v>209</v>
      </c>
      <c r="B26" s="82" t="s">
        <v>268</v>
      </c>
      <c r="C26" s="82" t="s">
        <v>374</v>
      </c>
      <c r="D26" s="82" t="s">
        <v>17</v>
      </c>
      <c r="E26" s="82" t="s">
        <v>27</v>
      </c>
      <c r="F26" s="82" t="s">
        <v>199</v>
      </c>
      <c r="G26" s="67">
        <v>3</v>
      </c>
      <c r="H26" s="87">
        <v>70</v>
      </c>
      <c r="I26" s="87">
        <v>70</v>
      </c>
      <c r="J26" s="87">
        <v>140</v>
      </c>
      <c r="K26" s="87">
        <v>400</v>
      </c>
      <c r="L26" s="87">
        <v>10</v>
      </c>
      <c r="M26" s="87">
        <v>70</v>
      </c>
      <c r="N26" s="92">
        <f>SUM(H26:M26)</f>
        <v>760</v>
      </c>
      <c r="O26" s="87">
        <v>2785</v>
      </c>
      <c r="P26" s="101">
        <v>4849</v>
      </c>
      <c r="Q26" s="72" t="s">
        <v>398</v>
      </c>
      <c r="R26" s="97">
        <f>IFERROR(N26+IF(ISNUMBER(O26),O26,0)+IF(ISNUMBER(P26),P26,0),"")</f>
        <v>8394</v>
      </c>
      <c r="S26" s="106" t="s">
        <v>212</v>
      </c>
    </row>
    <row r="27" spans="1:19" ht="22" customHeight="1">
      <c r="A27" s="246" t="s">
        <v>496</v>
      </c>
      <c r="B27" s="247"/>
      <c r="C27" s="247"/>
      <c r="D27" s="247"/>
      <c r="E27" s="247"/>
      <c r="F27" s="247"/>
      <c r="G27" s="247"/>
      <c r="H27" s="247"/>
      <c r="I27" s="247"/>
      <c r="J27" s="247"/>
      <c r="K27" s="247"/>
      <c r="L27" s="247"/>
      <c r="M27" s="247"/>
      <c r="N27" s="247"/>
      <c r="O27" s="247"/>
      <c r="P27" s="247"/>
      <c r="Q27" s="247"/>
      <c r="R27" s="247"/>
      <c r="S27" s="248"/>
    </row>
    <row r="28" spans="1:19" ht="24" customHeight="1">
      <c r="A28" s="162" t="s">
        <v>225</v>
      </c>
      <c r="B28" s="163" t="s">
        <v>375</v>
      </c>
      <c r="C28" s="163" t="s">
        <v>268</v>
      </c>
      <c r="D28" s="163" t="s">
        <v>56</v>
      </c>
      <c r="E28" s="163" t="s">
        <v>17</v>
      </c>
      <c r="F28" s="163" t="s">
        <v>199</v>
      </c>
      <c r="G28" s="164">
        <v>2</v>
      </c>
      <c r="H28" s="165">
        <v>70</v>
      </c>
      <c r="I28" s="165">
        <v>50</v>
      </c>
      <c r="J28" s="165">
        <v>260</v>
      </c>
      <c r="K28" s="165">
        <v>325</v>
      </c>
      <c r="L28" s="165">
        <v>90</v>
      </c>
      <c r="M28" s="165">
        <v>80</v>
      </c>
      <c r="N28" s="166"/>
      <c r="O28" s="165">
        <v>600</v>
      </c>
      <c r="P28" s="101">
        <v>1</v>
      </c>
      <c r="Q28" s="167" t="s">
        <v>415</v>
      </c>
      <c r="R28" s="168"/>
      <c r="S28" s="169" t="s">
        <v>212</v>
      </c>
    </row>
    <row r="29" spans="1:19" ht="24" customHeight="1">
      <c r="A29" s="162" t="s">
        <v>226</v>
      </c>
      <c r="B29" s="163" t="s">
        <v>376</v>
      </c>
      <c r="C29" s="163" t="s">
        <v>268</v>
      </c>
      <c r="D29" s="163" t="s">
        <v>227</v>
      </c>
      <c r="E29" s="163" t="s">
        <v>17</v>
      </c>
      <c r="F29" s="163" t="s">
        <v>199</v>
      </c>
      <c r="G29" s="164">
        <v>2</v>
      </c>
      <c r="H29" s="165">
        <v>70</v>
      </c>
      <c r="I29" s="165">
        <v>35</v>
      </c>
      <c r="J29" s="165">
        <v>145</v>
      </c>
      <c r="K29" s="165">
        <v>350</v>
      </c>
      <c r="L29" s="165">
        <v>150</v>
      </c>
      <c r="M29" s="165">
        <v>50</v>
      </c>
      <c r="N29" s="166">
        <f>SUM(H29:M29)</f>
        <v>800</v>
      </c>
      <c r="O29" s="165">
        <v>600</v>
      </c>
      <c r="P29" s="101">
        <v>1</v>
      </c>
      <c r="Q29" s="167" t="s">
        <v>416</v>
      </c>
      <c r="R29" s="168">
        <f>IFERROR(N29+IF(ISNUMBER(O29),O29,0)+IF(ISNUMBER(P29),P29,0),"")</f>
        <v>1401</v>
      </c>
      <c r="S29" s="169" t="s">
        <v>417</v>
      </c>
    </row>
    <row r="30" spans="1:19" ht="22" customHeight="1">
      <c r="A30" s="249" t="s">
        <v>481</v>
      </c>
      <c r="B30" s="250"/>
      <c r="C30" s="250"/>
      <c r="D30" s="250"/>
      <c r="E30" s="250"/>
      <c r="F30" s="250"/>
      <c r="G30" s="250"/>
      <c r="H30" s="250"/>
      <c r="I30" s="250"/>
      <c r="J30" s="250"/>
      <c r="K30" s="250"/>
      <c r="L30" s="250"/>
      <c r="M30" s="250"/>
      <c r="N30" s="250"/>
      <c r="O30" s="250"/>
      <c r="P30" s="250"/>
      <c r="Q30" s="250"/>
      <c r="R30" s="250"/>
      <c r="S30" s="251"/>
    </row>
    <row r="31" spans="1:19" ht="24" customHeight="1">
      <c r="A31" s="78" t="s">
        <v>216</v>
      </c>
      <c r="B31" s="83" t="s">
        <v>271</v>
      </c>
      <c r="C31" s="83" t="s">
        <v>377</v>
      </c>
      <c r="D31" s="83" t="s">
        <v>17</v>
      </c>
      <c r="E31" s="83" t="s">
        <v>39</v>
      </c>
      <c r="F31" s="83" t="s">
        <v>199</v>
      </c>
      <c r="G31" s="68">
        <v>1</v>
      </c>
      <c r="H31" s="88">
        <v>70</v>
      </c>
      <c r="I31" s="88">
        <v>70</v>
      </c>
      <c r="J31" s="88">
        <v>140</v>
      </c>
      <c r="K31" s="88">
        <v>250</v>
      </c>
      <c r="L31" s="88">
        <v>10</v>
      </c>
      <c r="M31" s="88">
        <v>70</v>
      </c>
      <c r="N31" s="93"/>
      <c r="O31" s="88">
        <v>800</v>
      </c>
      <c r="P31" s="101">
        <v>490</v>
      </c>
      <c r="Q31" s="73" t="s">
        <v>155</v>
      </c>
      <c r="R31" s="98"/>
      <c r="S31" s="107" t="s">
        <v>143</v>
      </c>
    </row>
    <row r="32" spans="1:19" ht="24" customHeight="1">
      <c r="A32" s="78" t="s">
        <v>273</v>
      </c>
      <c r="B32" s="83" t="s">
        <v>378</v>
      </c>
      <c r="C32" s="83" t="s">
        <v>379</v>
      </c>
      <c r="D32" s="83" t="s">
        <v>17</v>
      </c>
      <c r="E32" s="83" t="s">
        <v>39</v>
      </c>
      <c r="F32" s="83" t="s">
        <v>199</v>
      </c>
      <c r="G32" s="68">
        <v>3</v>
      </c>
      <c r="H32" s="88">
        <v>70</v>
      </c>
      <c r="I32" s="88">
        <v>70</v>
      </c>
      <c r="J32" s="88">
        <v>140</v>
      </c>
      <c r="K32" s="88">
        <v>250</v>
      </c>
      <c r="L32" s="88">
        <v>10</v>
      </c>
      <c r="M32" s="88">
        <v>70</v>
      </c>
      <c r="N32" s="93">
        <f>SUM(H32:M32)</f>
        <v>610</v>
      </c>
      <c r="O32" s="88">
        <v>800</v>
      </c>
      <c r="P32" s="101">
        <v>490</v>
      </c>
      <c r="Q32" s="73" t="s">
        <v>155</v>
      </c>
      <c r="R32" s="98">
        <f>IFERROR(N32+IF(ISNUMBER(O32),O32,0)+IF(ISNUMBER(P32),P32,0),"")</f>
        <v>1900</v>
      </c>
      <c r="S32" s="107" t="s">
        <v>143</v>
      </c>
    </row>
    <row r="33" spans="1:19" ht="24" customHeight="1">
      <c r="A33" s="78" t="s">
        <v>218</v>
      </c>
      <c r="B33" s="83" t="s">
        <v>276</v>
      </c>
      <c r="C33" s="83" t="s">
        <v>377</v>
      </c>
      <c r="D33" s="83" t="s">
        <v>44</v>
      </c>
      <c r="E33" s="83" t="s">
        <v>39</v>
      </c>
      <c r="F33" s="83" t="s">
        <v>199</v>
      </c>
      <c r="G33" s="68">
        <v>0.5</v>
      </c>
      <c r="H33" s="88">
        <v>70</v>
      </c>
      <c r="I33" s="88">
        <v>70</v>
      </c>
      <c r="J33" s="88">
        <v>140</v>
      </c>
      <c r="K33" s="88">
        <v>420</v>
      </c>
      <c r="L33" s="88">
        <v>30</v>
      </c>
      <c r="M33" s="88">
        <v>70</v>
      </c>
      <c r="N33" s="93">
        <f>SUM(H33:M33)</f>
        <v>800</v>
      </c>
      <c r="O33" s="88">
        <v>800</v>
      </c>
      <c r="P33" s="101">
        <v>300</v>
      </c>
      <c r="Q33" s="73" t="s">
        <v>219</v>
      </c>
      <c r="R33" s="98">
        <f>IFERROR(N33+IF(ISNUMBER(O33),O33,0)+IF(ISNUMBER(P33),P33,0),"")</f>
        <v>1900</v>
      </c>
      <c r="S33" s="107" t="s">
        <v>143</v>
      </c>
    </row>
    <row r="34" spans="1:19" ht="24" customHeight="1">
      <c r="A34" s="78" t="s">
        <v>220</v>
      </c>
      <c r="B34" s="83" t="s">
        <v>278</v>
      </c>
      <c r="C34" s="83" t="s">
        <v>379</v>
      </c>
      <c r="D34" s="83" t="s">
        <v>46</v>
      </c>
      <c r="E34" s="83" t="s">
        <v>39</v>
      </c>
      <c r="F34" s="83" t="s">
        <v>199</v>
      </c>
      <c r="G34" s="68">
        <v>0.5</v>
      </c>
      <c r="H34" s="88">
        <v>70</v>
      </c>
      <c r="I34" s="88">
        <v>70</v>
      </c>
      <c r="J34" s="88">
        <v>140</v>
      </c>
      <c r="K34" s="88">
        <v>420</v>
      </c>
      <c r="L34" s="88">
        <v>30</v>
      </c>
      <c r="M34" s="88">
        <v>70</v>
      </c>
      <c r="N34" s="93">
        <f>SUM(H34:M34)</f>
        <v>800</v>
      </c>
      <c r="O34" s="88">
        <v>800</v>
      </c>
      <c r="P34" s="101">
        <v>900</v>
      </c>
      <c r="Q34" s="73" t="s">
        <v>222</v>
      </c>
      <c r="R34" s="98">
        <f>IFERROR(N34+IF(ISNUMBER(O34),O34,0)+IF(ISNUMBER(P34),P34,0),"")</f>
        <v>2500</v>
      </c>
      <c r="S34" s="107" t="s">
        <v>131</v>
      </c>
    </row>
    <row r="35" spans="1:19" ht="24" customHeight="1">
      <c r="A35" s="78" t="s">
        <v>223</v>
      </c>
      <c r="B35" s="83" t="s">
        <v>379</v>
      </c>
      <c r="C35" s="83" t="s">
        <v>380</v>
      </c>
      <c r="D35" s="83" t="s">
        <v>39</v>
      </c>
      <c r="E35" s="83" t="s">
        <v>79</v>
      </c>
      <c r="F35" s="83" t="s">
        <v>224</v>
      </c>
      <c r="G35" s="68">
        <v>6</v>
      </c>
      <c r="H35" s="88">
        <v>70</v>
      </c>
      <c r="I35" s="88">
        <v>70</v>
      </c>
      <c r="J35" s="88">
        <v>140</v>
      </c>
      <c r="K35" s="88">
        <v>300</v>
      </c>
      <c r="L35" s="88">
        <v>30</v>
      </c>
      <c r="M35" s="88">
        <v>70</v>
      </c>
      <c r="N35" s="93">
        <f>SUM(H35:M35)</f>
        <v>680</v>
      </c>
      <c r="O35" s="88">
        <v>2200</v>
      </c>
      <c r="P35" s="101">
        <v>4800</v>
      </c>
      <c r="Q35" s="73" t="s">
        <v>154</v>
      </c>
      <c r="R35" s="98">
        <f>IFERROR(N35+IF(ISNUMBER(O35),O35,0)+IF(ISNUMBER(P35),P35,0),"")</f>
        <v>7680</v>
      </c>
      <c r="S35" s="107" t="s">
        <v>131</v>
      </c>
    </row>
    <row r="36" spans="1:19" ht="22" customHeight="1">
      <c r="A36" s="234" t="s">
        <v>497</v>
      </c>
      <c r="B36" s="235"/>
      <c r="C36" s="235"/>
      <c r="D36" s="235"/>
      <c r="E36" s="235"/>
      <c r="F36" s="235"/>
      <c r="G36" s="235"/>
      <c r="H36" s="235"/>
      <c r="I36" s="235"/>
      <c r="J36" s="235"/>
      <c r="K36" s="235"/>
      <c r="L36" s="235"/>
      <c r="M36" s="235"/>
      <c r="N36" s="235"/>
      <c r="O36" s="235"/>
      <c r="P36" s="235"/>
      <c r="Q36" s="235"/>
      <c r="R36" s="235"/>
      <c r="S36" s="236"/>
    </row>
    <row r="37" spans="1:19" ht="24" customHeight="1">
      <c r="A37" s="79" t="s">
        <v>211</v>
      </c>
      <c r="B37" s="84" t="s">
        <v>268</v>
      </c>
      <c r="C37" s="84" t="s">
        <v>380</v>
      </c>
      <c r="D37" s="84" t="s">
        <v>17</v>
      </c>
      <c r="E37" s="84" t="s">
        <v>79</v>
      </c>
      <c r="F37" s="84" t="s">
        <v>199</v>
      </c>
      <c r="G37" s="69">
        <v>1</v>
      </c>
      <c r="H37" s="89">
        <v>70</v>
      </c>
      <c r="I37" s="89">
        <v>70</v>
      </c>
      <c r="J37" s="89">
        <v>140</v>
      </c>
      <c r="K37" s="89">
        <v>400</v>
      </c>
      <c r="L37" s="89">
        <v>10</v>
      </c>
      <c r="M37" s="89">
        <v>70</v>
      </c>
      <c r="N37" s="94"/>
      <c r="O37" s="89">
        <v>2200</v>
      </c>
      <c r="P37" s="101">
        <v>3635</v>
      </c>
      <c r="Q37" s="74" t="s">
        <v>153</v>
      </c>
      <c r="R37" s="99"/>
      <c r="S37" s="108" t="s">
        <v>212</v>
      </c>
    </row>
    <row r="38" spans="1:19" ht="24" customHeight="1">
      <c r="A38" s="79" t="s">
        <v>214</v>
      </c>
      <c r="B38" s="84" t="s">
        <v>381</v>
      </c>
      <c r="C38" s="84" t="s">
        <v>380</v>
      </c>
      <c r="D38" s="84" t="s">
        <v>29</v>
      </c>
      <c r="E38" s="84" t="s">
        <v>79</v>
      </c>
      <c r="F38" s="84" t="s">
        <v>199</v>
      </c>
      <c r="G38" s="69">
        <v>3</v>
      </c>
      <c r="H38" s="89">
        <v>70</v>
      </c>
      <c r="I38" s="89">
        <v>70</v>
      </c>
      <c r="J38" s="89">
        <v>140</v>
      </c>
      <c r="K38" s="89">
        <v>300</v>
      </c>
      <c r="L38" s="89">
        <v>250</v>
      </c>
      <c r="M38" s="89">
        <v>70</v>
      </c>
      <c r="N38" s="94">
        <f>SUM(H38:M38)</f>
        <v>900</v>
      </c>
      <c r="O38" s="89">
        <v>2200</v>
      </c>
      <c r="P38" s="101">
        <v>4500</v>
      </c>
      <c r="Q38" s="74" t="s">
        <v>151</v>
      </c>
      <c r="R38" s="99">
        <f>IFERROR(N38+IF(ISNUMBER(O38),O38,0)+IF(ISNUMBER(P38),P38,0),"")</f>
        <v>7600</v>
      </c>
      <c r="S38" s="108" t="s">
        <v>131</v>
      </c>
    </row>
    <row r="39" spans="1:19" ht="24" customHeight="1" thickBot="1">
      <c r="A39" s="80" t="s">
        <v>215</v>
      </c>
      <c r="B39" s="85" t="s">
        <v>74</v>
      </c>
      <c r="C39" s="85" t="s">
        <v>380</v>
      </c>
      <c r="D39" s="85" t="s">
        <v>56</v>
      </c>
      <c r="E39" s="85" t="s">
        <v>79</v>
      </c>
      <c r="F39" s="85" t="s">
        <v>199</v>
      </c>
      <c r="G39" s="70">
        <v>0.5</v>
      </c>
      <c r="H39" s="90">
        <v>70</v>
      </c>
      <c r="I39" s="90">
        <v>70</v>
      </c>
      <c r="J39" s="90">
        <v>140</v>
      </c>
      <c r="K39" s="90">
        <v>300</v>
      </c>
      <c r="L39" s="90">
        <v>250</v>
      </c>
      <c r="M39" s="90">
        <v>70</v>
      </c>
      <c r="N39" s="95">
        <f>SUM(H39:M39)</f>
        <v>900</v>
      </c>
      <c r="O39" s="90">
        <v>2200</v>
      </c>
      <c r="P39" s="102">
        <v>4500</v>
      </c>
      <c r="Q39" s="75" t="s">
        <v>154</v>
      </c>
      <c r="R39" s="100">
        <f>IFERROR(N39+IF(ISNUMBER(O39),O39,0)+IF(ISNUMBER(P39),P39,0),"")</f>
        <v>7600</v>
      </c>
      <c r="S39" s="109" t="s">
        <v>131</v>
      </c>
    </row>
    <row r="40" spans="1:19">
      <c r="B40"/>
      <c r="C40"/>
      <c r="D40"/>
      <c r="E40"/>
      <c r="F40"/>
      <c r="G40"/>
      <c r="H40"/>
      <c r="I40"/>
      <c r="J40"/>
      <c r="K40"/>
      <c r="L40"/>
      <c r="M40"/>
      <c r="N40"/>
      <c r="O40"/>
      <c r="P40"/>
      <c r="Q40"/>
    </row>
    <row r="41" spans="1:19">
      <c r="B41"/>
      <c r="C41"/>
      <c r="D41"/>
      <c r="E41"/>
      <c r="F41"/>
      <c r="G41"/>
      <c r="H41"/>
      <c r="I41"/>
      <c r="J41"/>
      <c r="K41"/>
      <c r="L41"/>
      <c r="M41"/>
      <c r="N41"/>
      <c r="O41"/>
      <c r="P41"/>
      <c r="Q41"/>
    </row>
    <row r="42" spans="1:19">
      <c r="B42"/>
      <c r="C42"/>
      <c r="D42"/>
      <c r="E42"/>
      <c r="F42"/>
      <c r="G42"/>
      <c r="H42"/>
      <c r="I42"/>
      <c r="J42"/>
      <c r="K42"/>
      <c r="L42"/>
      <c r="M42"/>
      <c r="N42"/>
      <c r="O42"/>
      <c r="P42"/>
      <c r="Q42"/>
    </row>
    <row r="43" spans="1:19">
      <c r="B43"/>
      <c r="C43"/>
      <c r="D43"/>
      <c r="E43"/>
      <c r="F43"/>
      <c r="G43"/>
      <c r="H43"/>
      <c r="I43"/>
      <c r="J43"/>
      <c r="K43"/>
      <c r="L43"/>
      <c r="M43"/>
      <c r="N43"/>
      <c r="O43"/>
      <c r="P43"/>
      <c r="Q43"/>
    </row>
    <row r="44" spans="1:19">
      <c r="B44"/>
      <c r="C44"/>
      <c r="D44"/>
      <c r="E44"/>
      <c r="F44"/>
      <c r="G44"/>
      <c r="H44"/>
      <c r="I44"/>
      <c r="J44"/>
      <c r="K44"/>
      <c r="L44"/>
      <c r="M44"/>
      <c r="N44"/>
      <c r="O44"/>
      <c r="P44"/>
      <c r="Q44"/>
    </row>
    <row r="45" spans="1:19">
      <c r="B45"/>
      <c r="C45"/>
      <c r="D45"/>
      <c r="E45"/>
      <c r="F45"/>
      <c r="G45"/>
      <c r="H45"/>
      <c r="I45"/>
      <c r="J45"/>
      <c r="K45"/>
      <c r="L45"/>
      <c r="M45"/>
      <c r="N45"/>
      <c r="O45"/>
      <c r="P45"/>
      <c r="Q45"/>
    </row>
  </sheetData>
  <protectedRanges>
    <protectedRange sqref="Q16:Q17" name="区域1_1_2_2_1"/>
    <protectedRange sqref="I9:M9" name="区域1_1_3_2_1"/>
    <protectedRange sqref="H16:M17" name="区域1_1_2_2_2"/>
    <protectedRange sqref="I29 L29:M29" name="区域1_1_2_2_1_2"/>
    <protectedRange sqref="K33" name="区域1_1_2_2_1_3"/>
    <protectedRange sqref="K35" name="区域1_1_2_2_1_4"/>
    <protectedRange sqref="K36" name="区域1_1_2_2_1_5"/>
    <protectedRange sqref="K37" name="区域1_1_2_2_1_6"/>
    <protectedRange sqref="K38 K30:K32" name="区域1_1_2_2_1_7"/>
  </protectedRanges>
  <mergeCells count="6">
    <mergeCell ref="A36:S36"/>
    <mergeCell ref="A2:S2"/>
    <mergeCell ref="A5:S5"/>
    <mergeCell ref="A21:S21"/>
    <mergeCell ref="A27:S27"/>
    <mergeCell ref="A30:S30"/>
  </mergeCells>
  <phoneticPr fontId="1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BAB06-DFD0-4D4C-A963-9CFC5E2E78CC}">
  <dimension ref="A1:Z200"/>
  <sheetViews>
    <sheetView topLeftCell="D1" zoomScale="90" zoomScaleNormal="90" workbookViewId="0">
      <pane ySplit="1" topLeftCell="A18" activePane="bottomLeft" state="frozen"/>
      <selection activeCell="B1" sqref="B1"/>
      <selection pane="bottomLeft" activeCell="D12" sqref="D12"/>
    </sheetView>
  </sheetViews>
  <sheetFormatPr baseColWidth="10" defaultColWidth="9" defaultRowHeight="15"/>
  <cols>
    <col min="1" max="1" width="21.6640625" style="32" customWidth="1"/>
    <col min="2" max="2" width="26.6640625" style="39" customWidth="1"/>
    <col min="3" max="3" width="26.6640625" style="38" customWidth="1"/>
    <col min="4" max="5" width="11.6640625" style="37" customWidth="1"/>
    <col min="6" max="6" width="10" style="37" customWidth="1"/>
    <col min="7" max="7" width="10.83203125" style="37" customWidth="1"/>
    <col min="8" max="8" width="9.1640625" style="36" customWidth="1"/>
    <col min="9" max="9" width="8.33203125" style="36" customWidth="1"/>
    <col min="10" max="10" width="9.1640625" style="36" customWidth="1"/>
    <col min="11" max="12" width="10" style="36" customWidth="1"/>
    <col min="13" max="13" width="8.33203125" style="36" customWidth="1"/>
    <col min="14" max="14" width="12.5" style="36" customWidth="1"/>
    <col min="15" max="15" width="10.83203125" style="35" customWidth="1"/>
    <col min="16" max="16" width="11.6640625" style="35" customWidth="1"/>
    <col min="17" max="18" width="13.33203125" style="35" customWidth="1"/>
    <col min="19" max="19" width="14.1640625" style="34" customWidth="1"/>
    <col min="20" max="20" width="11.1640625" style="33" customWidth="1"/>
    <col min="21" max="16384" width="9" style="32"/>
  </cols>
  <sheetData>
    <row r="1" spans="1:26" ht="20" customHeight="1" thickBot="1">
      <c r="A1" s="176" t="s">
        <v>253</v>
      </c>
      <c r="B1" s="177" t="s">
        <v>1</v>
      </c>
      <c r="C1" s="177" t="s">
        <v>2</v>
      </c>
      <c r="D1" s="177" t="s">
        <v>254</v>
      </c>
      <c r="E1" s="177" t="s">
        <v>255</v>
      </c>
      <c r="F1" s="177" t="s">
        <v>190</v>
      </c>
      <c r="G1" s="177" t="s">
        <v>191</v>
      </c>
      <c r="H1" s="177" t="s">
        <v>327</v>
      </c>
      <c r="I1" s="177" t="s">
        <v>328</v>
      </c>
      <c r="J1" s="177" t="s">
        <v>258</v>
      </c>
      <c r="K1" s="177" t="s">
        <v>259</v>
      </c>
      <c r="L1" s="177" t="s">
        <v>260</v>
      </c>
      <c r="M1" s="177" t="s">
        <v>261</v>
      </c>
      <c r="N1" s="177" t="s">
        <v>291</v>
      </c>
      <c r="O1" s="177" t="s">
        <v>329</v>
      </c>
      <c r="P1" s="178" t="s">
        <v>262</v>
      </c>
      <c r="Q1" s="177" t="s">
        <v>263</v>
      </c>
      <c r="R1" s="177" t="s">
        <v>264</v>
      </c>
      <c r="S1" s="179" t="s">
        <v>293</v>
      </c>
      <c r="T1"/>
      <c r="U1"/>
      <c r="V1"/>
      <c r="W1"/>
      <c r="X1"/>
      <c r="Y1"/>
      <c r="Z1"/>
    </row>
    <row r="2" spans="1:26" ht="22" customHeight="1">
      <c r="A2" s="237" t="s">
        <v>498</v>
      </c>
      <c r="B2" s="238"/>
      <c r="C2" s="238"/>
      <c r="D2" s="238"/>
      <c r="E2" s="238"/>
      <c r="F2" s="238"/>
      <c r="G2" s="238"/>
      <c r="H2" s="238"/>
      <c r="I2" s="238"/>
      <c r="J2" s="238"/>
      <c r="K2" s="238"/>
      <c r="L2" s="238"/>
      <c r="M2" s="238"/>
      <c r="N2" s="238"/>
      <c r="O2" s="238"/>
      <c r="P2" s="238"/>
      <c r="Q2" s="238"/>
      <c r="R2" s="238"/>
      <c r="S2" s="239"/>
      <c r="T2"/>
      <c r="U2"/>
      <c r="V2"/>
      <c r="W2"/>
      <c r="X2"/>
      <c r="Y2"/>
      <c r="Z2"/>
    </row>
    <row r="3" spans="1:26" ht="24" customHeight="1">
      <c r="A3" s="154" t="s">
        <v>192</v>
      </c>
      <c r="B3" s="155" t="s">
        <v>15</v>
      </c>
      <c r="C3" s="155" t="s">
        <v>330</v>
      </c>
      <c r="D3" s="155" t="s">
        <v>17</v>
      </c>
      <c r="E3" s="155" t="s">
        <v>31</v>
      </c>
      <c r="F3" s="155" t="s">
        <v>194</v>
      </c>
      <c r="G3" s="156">
        <v>16</v>
      </c>
      <c r="H3" s="157">
        <v>70</v>
      </c>
      <c r="I3" s="157">
        <v>70</v>
      </c>
      <c r="J3" s="157">
        <v>140</v>
      </c>
      <c r="K3" s="157">
        <v>400</v>
      </c>
      <c r="L3" s="157">
        <v>10</v>
      </c>
      <c r="M3" s="157">
        <v>70</v>
      </c>
      <c r="N3" s="158">
        <f>SUM(H3:M3)</f>
        <v>760</v>
      </c>
      <c r="O3" s="157">
        <v>950</v>
      </c>
      <c r="P3" s="101">
        <v>2200</v>
      </c>
      <c r="Q3" s="159"/>
      <c r="R3" s="160">
        <f>IFERROR(N3+IF(ISNUMBER(O3),O3,0)+IF(ISNUMBER(P3),P3,0),"")</f>
        <v>3910</v>
      </c>
      <c r="S3" s="161" t="s">
        <v>359</v>
      </c>
      <c r="T3"/>
      <c r="U3"/>
      <c r="V3"/>
      <c r="W3"/>
      <c r="X3"/>
      <c r="Y3"/>
      <c r="Z3"/>
    </row>
    <row r="4" spans="1:26" ht="24" customHeight="1">
      <c r="A4" s="154" t="s">
        <v>192</v>
      </c>
      <c r="B4" s="155" t="s">
        <v>128</v>
      </c>
      <c r="C4" s="155" t="s">
        <v>330</v>
      </c>
      <c r="D4" s="155" t="s">
        <v>17</v>
      </c>
      <c r="E4" s="155" t="s">
        <v>31</v>
      </c>
      <c r="F4" s="155" t="s">
        <v>199</v>
      </c>
      <c r="G4" s="156">
        <v>2</v>
      </c>
      <c r="H4" s="157">
        <v>70</v>
      </c>
      <c r="I4" s="157">
        <v>70</v>
      </c>
      <c r="J4" s="157">
        <v>140</v>
      </c>
      <c r="K4" s="157">
        <v>200</v>
      </c>
      <c r="L4" s="157">
        <v>20</v>
      </c>
      <c r="M4" s="157">
        <v>50</v>
      </c>
      <c r="N4" s="158">
        <f>SUM(H4:M4)</f>
        <v>550</v>
      </c>
      <c r="O4" s="157">
        <v>950</v>
      </c>
      <c r="P4" s="101">
        <v>2650</v>
      </c>
      <c r="Q4" s="159"/>
      <c r="R4" s="160">
        <f>IFERROR(N4+IF(ISNUMBER(O4),O4,0)+IF(ISNUMBER(P4),P4,0),"")</f>
        <v>4150</v>
      </c>
      <c r="S4" s="161" t="s">
        <v>140</v>
      </c>
      <c r="T4"/>
      <c r="U4"/>
      <c r="V4"/>
      <c r="W4"/>
      <c r="X4"/>
      <c r="Y4"/>
      <c r="Z4"/>
    </row>
    <row r="5" spans="1:26" ht="22" customHeight="1">
      <c r="A5" s="240" t="s">
        <v>499</v>
      </c>
      <c r="B5" s="241"/>
      <c r="C5" s="241"/>
      <c r="D5" s="241"/>
      <c r="E5" s="241"/>
      <c r="F5" s="241"/>
      <c r="G5" s="241"/>
      <c r="H5" s="241"/>
      <c r="I5" s="241"/>
      <c r="J5" s="241"/>
      <c r="K5" s="241"/>
      <c r="L5" s="241"/>
      <c r="M5" s="241"/>
      <c r="N5" s="241"/>
      <c r="O5" s="241"/>
      <c r="P5" s="241"/>
      <c r="Q5" s="241"/>
      <c r="R5" s="241"/>
      <c r="S5" s="242"/>
      <c r="T5"/>
      <c r="U5"/>
      <c r="V5"/>
      <c r="W5"/>
      <c r="X5"/>
      <c r="Y5"/>
      <c r="Z5"/>
    </row>
    <row r="6" spans="1:26" ht="24" customHeight="1">
      <c r="A6" s="76" t="s">
        <v>331</v>
      </c>
      <c r="B6" s="81" t="s">
        <v>40</v>
      </c>
      <c r="C6" s="81" t="s">
        <v>229</v>
      </c>
      <c r="D6" s="81" t="s">
        <v>39</v>
      </c>
      <c r="E6" s="81" t="s">
        <v>332</v>
      </c>
      <c r="F6" s="81" t="s">
        <v>230</v>
      </c>
      <c r="G6" s="66">
        <v>9</v>
      </c>
      <c r="H6" s="86">
        <v>70</v>
      </c>
      <c r="I6" s="86">
        <v>50</v>
      </c>
      <c r="J6" s="86">
        <v>260</v>
      </c>
      <c r="K6" s="86">
        <v>250</v>
      </c>
      <c r="L6" s="86">
        <v>90</v>
      </c>
      <c r="M6" s="86">
        <v>80</v>
      </c>
      <c r="N6" s="91">
        <f t="shared" ref="N6:N20" si="0">SUM(H6:M6)</f>
        <v>800</v>
      </c>
      <c r="O6" s="86" t="s">
        <v>169</v>
      </c>
      <c r="P6" s="101">
        <v>2550</v>
      </c>
      <c r="Q6" s="71"/>
      <c r="R6" s="96">
        <f t="shared" ref="R6:R20" si="1">IFERROR(N6+IF(ISNUMBER(O6),O6,0)+IF(ISNUMBER(P6),P6,0),"")</f>
        <v>3350</v>
      </c>
      <c r="S6" s="105" t="s">
        <v>142</v>
      </c>
      <c r="T6"/>
      <c r="U6"/>
      <c r="V6"/>
      <c r="W6"/>
      <c r="X6"/>
      <c r="Y6"/>
      <c r="Z6"/>
    </row>
    <row r="7" spans="1:26" ht="24" customHeight="1">
      <c r="A7" s="76" t="s">
        <v>231</v>
      </c>
      <c r="B7" s="81" t="s">
        <v>232</v>
      </c>
      <c r="C7" s="81" t="s">
        <v>233</v>
      </c>
      <c r="D7" s="81" t="s">
        <v>56</v>
      </c>
      <c r="E7" s="81" t="s">
        <v>332</v>
      </c>
      <c r="F7" s="81" t="s">
        <v>230</v>
      </c>
      <c r="G7" s="66">
        <v>4</v>
      </c>
      <c r="H7" s="86">
        <v>70</v>
      </c>
      <c r="I7" s="86">
        <v>50</v>
      </c>
      <c r="J7" s="86">
        <v>260</v>
      </c>
      <c r="K7" s="86">
        <v>325</v>
      </c>
      <c r="L7" s="86">
        <v>90</v>
      </c>
      <c r="M7" s="86">
        <v>80</v>
      </c>
      <c r="N7" s="91">
        <f t="shared" si="0"/>
        <v>875</v>
      </c>
      <c r="O7" s="86" t="s">
        <v>169</v>
      </c>
      <c r="P7" s="101">
        <v>2550</v>
      </c>
      <c r="Q7" s="71"/>
      <c r="R7" s="96">
        <f t="shared" si="1"/>
        <v>3425</v>
      </c>
      <c r="S7" s="105" t="s">
        <v>142</v>
      </c>
      <c r="T7"/>
      <c r="U7"/>
      <c r="V7"/>
      <c r="W7"/>
      <c r="X7"/>
      <c r="Y7"/>
      <c r="Z7"/>
    </row>
    <row r="8" spans="1:26" ht="24" customHeight="1">
      <c r="A8" s="76" t="s">
        <v>331</v>
      </c>
      <c r="B8" s="81" t="s">
        <v>94</v>
      </c>
      <c r="C8" s="81" t="s">
        <v>235</v>
      </c>
      <c r="D8" s="81" t="s">
        <v>39</v>
      </c>
      <c r="E8" s="81" t="s">
        <v>332</v>
      </c>
      <c r="F8" s="81" t="s">
        <v>230</v>
      </c>
      <c r="G8" s="66">
        <v>0.5</v>
      </c>
      <c r="H8" s="86">
        <v>70</v>
      </c>
      <c r="I8" s="86">
        <v>50</v>
      </c>
      <c r="J8" s="86">
        <v>260</v>
      </c>
      <c r="K8" s="86">
        <v>250</v>
      </c>
      <c r="L8" s="86">
        <v>90</v>
      </c>
      <c r="M8" s="86">
        <v>80</v>
      </c>
      <c r="N8" s="91">
        <f t="shared" si="0"/>
        <v>800</v>
      </c>
      <c r="O8" s="86" t="s">
        <v>169</v>
      </c>
      <c r="P8" s="101">
        <v>2550</v>
      </c>
      <c r="Q8" s="71"/>
      <c r="R8" s="96">
        <f t="shared" si="1"/>
        <v>3350</v>
      </c>
      <c r="S8" s="105" t="s">
        <v>142</v>
      </c>
      <c r="T8"/>
      <c r="U8"/>
      <c r="V8"/>
      <c r="W8"/>
      <c r="X8"/>
      <c r="Y8"/>
      <c r="Z8"/>
    </row>
    <row r="9" spans="1:26" ht="24" customHeight="1">
      <c r="A9" s="76" t="s">
        <v>333</v>
      </c>
      <c r="B9" s="81" t="s">
        <v>102</v>
      </c>
      <c r="C9" s="81" t="s">
        <v>233</v>
      </c>
      <c r="D9" s="81" t="s">
        <v>29</v>
      </c>
      <c r="E9" s="81" t="s">
        <v>332</v>
      </c>
      <c r="F9" s="81" t="s">
        <v>230</v>
      </c>
      <c r="G9" s="66">
        <v>2</v>
      </c>
      <c r="H9" s="86">
        <v>70</v>
      </c>
      <c r="I9" s="86">
        <v>80</v>
      </c>
      <c r="J9" s="86">
        <v>160</v>
      </c>
      <c r="K9" s="86">
        <v>1000</v>
      </c>
      <c r="L9" s="86">
        <v>50</v>
      </c>
      <c r="M9" s="86">
        <v>75</v>
      </c>
      <c r="N9" s="91">
        <f t="shared" si="0"/>
        <v>1435</v>
      </c>
      <c r="O9" s="86" t="s">
        <v>169</v>
      </c>
      <c r="P9" s="101">
        <v>2500</v>
      </c>
      <c r="Q9" s="71"/>
      <c r="R9" s="96">
        <f t="shared" si="1"/>
        <v>3935</v>
      </c>
      <c r="S9" s="105" t="s">
        <v>140</v>
      </c>
      <c r="T9"/>
      <c r="U9"/>
      <c r="V9"/>
      <c r="W9"/>
      <c r="X9"/>
      <c r="Y9"/>
      <c r="Z9"/>
    </row>
    <row r="10" spans="1:26" ht="24" customHeight="1">
      <c r="A10" s="76" t="s">
        <v>237</v>
      </c>
      <c r="B10" s="81" t="s">
        <v>103</v>
      </c>
      <c r="C10" s="81" t="s">
        <v>233</v>
      </c>
      <c r="D10" s="81" t="s">
        <v>334</v>
      </c>
      <c r="E10" s="81" t="s">
        <v>332</v>
      </c>
      <c r="F10" s="81" t="s">
        <v>230</v>
      </c>
      <c r="G10" s="66">
        <v>1</v>
      </c>
      <c r="H10" s="86">
        <v>70</v>
      </c>
      <c r="I10" s="86">
        <v>35</v>
      </c>
      <c r="J10" s="86">
        <v>145</v>
      </c>
      <c r="K10" s="86">
        <v>350</v>
      </c>
      <c r="L10" s="86">
        <v>150</v>
      </c>
      <c r="M10" s="86">
        <v>50</v>
      </c>
      <c r="N10" s="91">
        <f t="shared" si="0"/>
        <v>800</v>
      </c>
      <c r="O10" s="86" t="s">
        <v>169</v>
      </c>
      <c r="P10" s="101">
        <v>2500</v>
      </c>
      <c r="Q10" s="71"/>
      <c r="R10" s="96">
        <f t="shared" si="1"/>
        <v>3300</v>
      </c>
      <c r="S10" s="105" t="s">
        <v>142</v>
      </c>
      <c r="T10"/>
      <c r="U10"/>
      <c r="V10"/>
      <c r="W10"/>
      <c r="X10"/>
      <c r="Y10"/>
      <c r="Z10"/>
    </row>
    <row r="11" spans="1:26" ht="24" customHeight="1">
      <c r="A11" s="76" t="s">
        <v>335</v>
      </c>
      <c r="B11" s="81" t="s">
        <v>82</v>
      </c>
      <c r="C11" s="81" t="s">
        <v>235</v>
      </c>
      <c r="D11" s="81" t="s">
        <v>17</v>
      </c>
      <c r="E11" s="81" t="s">
        <v>332</v>
      </c>
      <c r="F11" s="81" t="s">
        <v>239</v>
      </c>
      <c r="G11" s="66">
        <v>2</v>
      </c>
      <c r="H11" s="86">
        <v>70</v>
      </c>
      <c r="I11" s="86">
        <v>70</v>
      </c>
      <c r="J11" s="86">
        <v>145</v>
      </c>
      <c r="K11" s="86">
        <v>550</v>
      </c>
      <c r="L11" s="86">
        <v>15</v>
      </c>
      <c r="M11" s="86">
        <v>60</v>
      </c>
      <c r="N11" s="91">
        <f t="shared" si="0"/>
        <v>910</v>
      </c>
      <c r="O11" s="86" t="s">
        <v>169</v>
      </c>
      <c r="P11" s="101">
        <v>2250</v>
      </c>
      <c r="Q11" s="71"/>
      <c r="R11" s="96">
        <f t="shared" si="1"/>
        <v>3160</v>
      </c>
      <c r="S11" s="105" t="s">
        <v>142</v>
      </c>
      <c r="T11"/>
      <c r="U11"/>
      <c r="V11"/>
      <c r="W11"/>
      <c r="X11"/>
      <c r="Y11"/>
      <c r="Z11"/>
    </row>
    <row r="12" spans="1:26" ht="24" customHeight="1">
      <c r="A12" s="76" t="s">
        <v>335</v>
      </c>
      <c r="B12" s="81" t="s">
        <v>83</v>
      </c>
      <c r="C12" s="81" t="s">
        <v>235</v>
      </c>
      <c r="D12" s="81" t="s">
        <v>17</v>
      </c>
      <c r="E12" s="81" t="s">
        <v>332</v>
      </c>
      <c r="F12" s="81" t="s">
        <v>230</v>
      </c>
      <c r="G12" s="66">
        <v>1</v>
      </c>
      <c r="H12" s="86">
        <v>70</v>
      </c>
      <c r="I12" s="86">
        <v>70</v>
      </c>
      <c r="J12" s="86">
        <v>145</v>
      </c>
      <c r="K12" s="86">
        <v>550</v>
      </c>
      <c r="L12" s="86">
        <v>15</v>
      </c>
      <c r="M12" s="86">
        <v>60</v>
      </c>
      <c r="N12" s="91">
        <f t="shared" si="0"/>
        <v>910</v>
      </c>
      <c r="O12" s="86" t="s">
        <v>169</v>
      </c>
      <c r="P12" s="101">
        <v>2250</v>
      </c>
      <c r="Q12" s="71"/>
      <c r="R12" s="96">
        <f t="shared" si="1"/>
        <v>3160</v>
      </c>
      <c r="S12" s="105" t="s">
        <v>142</v>
      </c>
      <c r="T12"/>
      <c r="U12"/>
      <c r="V12"/>
      <c r="W12"/>
      <c r="X12"/>
      <c r="Y12"/>
      <c r="Z12"/>
    </row>
    <row r="13" spans="1:26" ht="24" customHeight="1">
      <c r="A13" s="76" t="s">
        <v>335</v>
      </c>
      <c r="B13" s="81" t="s">
        <v>84</v>
      </c>
      <c r="C13" s="81" t="s">
        <v>235</v>
      </c>
      <c r="D13" s="81" t="s">
        <v>17</v>
      </c>
      <c r="E13" s="81" t="s">
        <v>332</v>
      </c>
      <c r="F13" s="81" t="s">
        <v>230</v>
      </c>
      <c r="G13" s="66">
        <v>1</v>
      </c>
      <c r="H13" s="86">
        <v>70</v>
      </c>
      <c r="I13" s="86">
        <v>70</v>
      </c>
      <c r="J13" s="86">
        <v>145</v>
      </c>
      <c r="K13" s="86">
        <v>550</v>
      </c>
      <c r="L13" s="86">
        <v>15</v>
      </c>
      <c r="M13" s="86">
        <v>60</v>
      </c>
      <c r="N13" s="91">
        <f t="shared" si="0"/>
        <v>910</v>
      </c>
      <c r="O13" s="86" t="s">
        <v>169</v>
      </c>
      <c r="P13" s="101">
        <v>2250</v>
      </c>
      <c r="Q13" s="71"/>
      <c r="R13" s="96">
        <f t="shared" si="1"/>
        <v>3160</v>
      </c>
      <c r="S13" s="105" t="s">
        <v>142</v>
      </c>
      <c r="T13"/>
      <c r="U13"/>
      <c r="V13"/>
      <c r="W13"/>
      <c r="X13"/>
      <c r="Y13"/>
      <c r="Z13"/>
    </row>
    <row r="14" spans="1:26" ht="24" customHeight="1">
      <c r="A14" s="76" t="s">
        <v>335</v>
      </c>
      <c r="B14" s="81" t="s">
        <v>85</v>
      </c>
      <c r="C14" s="81" t="s">
        <v>235</v>
      </c>
      <c r="D14" s="81" t="s">
        <v>17</v>
      </c>
      <c r="E14" s="81" t="s">
        <v>332</v>
      </c>
      <c r="F14" s="81" t="s">
        <v>230</v>
      </c>
      <c r="G14" s="66">
        <v>2</v>
      </c>
      <c r="H14" s="86">
        <v>70</v>
      </c>
      <c r="I14" s="86">
        <v>70</v>
      </c>
      <c r="J14" s="86">
        <v>145</v>
      </c>
      <c r="K14" s="86">
        <v>250</v>
      </c>
      <c r="L14" s="86">
        <v>15</v>
      </c>
      <c r="M14" s="86">
        <v>60</v>
      </c>
      <c r="N14" s="91">
        <f t="shared" si="0"/>
        <v>610</v>
      </c>
      <c r="O14" s="86" t="s">
        <v>169</v>
      </c>
      <c r="P14" s="101">
        <v>2250</v>
      </c>
      <c r="Q14" s="71"/>
      <c r="R14" s="96">
        <f t="shared" si="1"/>
        <v>2860</v>
      </c>
      <c r="S14" s="105" t="s">
        <v>142</v>
      </c>
      <c r="T14"/>
      <c r="U14"/>
      <c r="V14"/>
      <c r="W14"/>
      <c r="X14"/>
      <c r="Y14"/>
      <c r="Z14"/>
    </row>
    <row r="15" spans="1:26" ht="24" customHeight="1">
      <c r="A15" s="76" t="s">
        <v>335</v>
      </c>
      <c r="B15" s="81" t="s">
        <v>86</v>
      </c>
      <c r="C15" s="81" t="s">
        <v>235</v>
      </c>
      <c r="D15" s="81" t="s">
        <v>17</v>
      </c>
      <c r="E15" s="81" t="s">
        <v>332</v>
      </c>
      <c r="F15" s="81" t="s">
        <v>230</v>
      </c>
      <c r="G15" s="66">
        <v>2</v>
      </c>
      <c r="H15" s="86">
        <v>70</v>
      </c>
      <c r="I15" s="86">
        <v>70</v>
      </c>
      <c r="J15" s="86">
        <v>145</v>
      </c>
      <c r="K15" s="86">
        <v>200</v>
      </c>
      <c r="L15" s="86">
        <v>15</v>
      </c>
      <c r="M15" s="86">
        <v>50</v>
      </c>
      <c r="N15" s="91">
        <f t="shared" si="0"/>
        <v>550</v>
      </c>
      <c r="O15" s="86" t="s">
        <v>169</v>
      </c>
      <c r="P15" s="101">
        <v>2300</v>
      </c>
      <c r="Q15" s="71"/>
      <c r="R15" s="96">
        <f t="shared" si="1"/>
        <v>2850</v>
      </c>
      <c r="S15" s="105" t="s">
        <v>140</v>
      </c>
      <c r="T15"/>
      <c r="U15"/>
      <c r="V15"/>
      <c r="W15"/>
      <c r="X15"/>
      <c r="Y15"/>
      <c r="Z15"/>
    </row>
    <row r="16" spans="1:26" ht="24" customHeight="1">
      <c r="A16" s="76" t="s">
        <v>335</v>
      </c>
      <c r="B16" s="81" t="s">
        <v>87</v>
      </c>
      <c r="C16" s="81" t="s">
        <v>235</v>
      </c>
      <c r="D16" s="81" t="s">
        <v>17</v>
      </c>
      <c r="E16" s="81" t="s">
        <v>332</v>
      </c>
      <c r="F16" s="81" t="s">
        <v>230</v>
      </c>
      <c r="G16" s="66">
        <v>0.5</v>
      </c>
      <c r="H16" s="86">
        <v>70</v>
      </c>
      <c r="I16" s="86">
        <v>70</v>
      </c>
      <c r="J16" s="86">
        <v>145</v>
      </c>
      <c r="K16" s="86">
        <v>1550</v>
      </c>
      <c r="L16" s="86">
        <v>15</v>
      </c>
      <c r="M16" s="86">
        <v>60</v>
      </c>
      <c r="N16" s="91">
        <f t="shared" si="0"/>
        <v>1910</v>
      </c>
      <c r="O16" s="86" t="s">
        <v>169</v>
      </c>
      <c r="P16" s="101">
        <v>2300</v>
      </c>
      <c r="Q16" s="71"/>
      <c r="R16" s="96">
        <f t="shared" si="1"/>
        <v>4210</v>
      </c>
      <c r="S16" s="105" t="s">
        <v>140</v>
      </c>
      <c r="T16"/>
      <c r="U16"/>
      <c r="V16"/>
      <c r="W16"/>
      <c r="X16"/>
      <c r="Y16"/>
      <c r="Z16"/>
    </row>
    <row r="17" spans="1:26" ht="24" customHeight="1">
      <c r="A17" s="76" t="s">
        <v>335</v>
      </c>
      <c r="B17" s="81" t="s">
        <v>97</v>
      </c>
      <c r="C17" s="81" t="s">
        <v>233</v>
      </c>
      <c r="D17" s="81" t="s">
        <v>17</v>
      </c>
      <c r="E17" s="81" t="s">
        <v>332</v>
      </c>
      <c r="F17" s="81" t="s">
        <v>230</v>
      </c>
      <c r="G17" s="66">
        <v>4</v>
      </c>
      <c r="H17" s="86">
        <v>70</v>
      </c>
      <c r="I17" s="86">
        <v>70</v>
      </c>
      <c r="J17" s="86">
        <v>145</v>
      </c>
      <c r="K17" s="86">
        <v>350</v>
      </c>
      <c r="L17" s="86">
        <v>15</v>
      </c>
      <c r="M17" s="86">
        <v>60</v>
      </c>
      <c r="N17" s="91">
        <f t="shared" si="0"/>
        <v>710</v>
      </c>
      <c r="O17" s="86" t="s">
        <v>169</v>
      </c>
      <c r="P17" s="101">
        <v>2250</v>
      </c>
      <c r="Q17" s="71"/>
      <c r="R17" s="96">
        <f t="shared" si="1"/>
        <v>2960</v>
      </c>
      <c r="S17" s="105" t="s">
        <v>142</v>
      </c>
      <c r="T17"/>
      <c r="U17"/>
      <c r="V17"/>
      <c r="W17"/>
      <c r="X17"/>
      <c r="Y17"/>
      <c r="Z17"/>
    </row>
    <row r="18" spans="1:26" ht="24" customHeight="1">
      <c r="A18" s="76" t="s">
        <v>335</v>
      </c>
      <c r="B18" s="81" t="s">
        <v>98</v>
      </c>
      <c r="C18" s="81" t="s">
        <v>233</v>
      </c>
      <c r="D18" s="81" t="s">
        <v>17</v>
      </c>
      <c r="E18" s="81" t="s">
        <v>332</v>
      </c>
      <c r="F18" s="81" t="s">
        <v>239</v>
      </c>
      <c r="G18" s="66">
        <v>1</v>
      </c>
      <c r="H18" s="86">
        <v>70</v>
      </c>
      <c r="I18" s="86">
        <v>70</v>
      </c>
      <c r="J18" s="86">
        <v>145</v>
      </c>
      <c r="K18" s="86">
        <v>50</v>
      </c>
      <c r="L18" s="86">
        <v>15</v>
      </c>
      <c r="M18" s="86">
        <v>60</v>
      </c>
      <c r="N18" s="91">
        <f t="shared" si="0"/>
        <v>410</v>
      </c>
      <c r="O18" s="86" t="s">
        <v>169</v>
      </c>
      <c r="P18" s="101">
        <v>2250</v>
      </c>
      <c r="Q18" s="71"/>
      <c r="R18" s="96">
        <f t="shared" si="1"/>
        <v>2660</v>
      </c>
      <c r="S18" s="105" t="s">
        <v>142</v>
      </c>
      <c r="T18"/>
      <c r="U18"/>
      <c r="V18"/>
      <c r="W18"/>
      <c r="X18"/>
      <c r="Y18"/>
      <c r="Z18"/>
    </row>
    <row r="19" spans="1:26" ht="24" customHeight="1">
      <c r="A19" s="76" t="s">
        <v>335</v>
      </c>
      <c r="B19" s="81" t="s">
        <v>99</v>
      </c>
      <c r="C19" s="81" t="s">
        <v>233</v>
      </c>
      <c r="D19" s="81" t="s">
        <v>17</v>
      </c>
      <c r="E19" s="81" t="s">
        <v>332</v>
      </c>
      <c r="F19" s="81" t="s">
        <v>230</v>
      </c>
      <c r="G19" s="66">
        <v>2</v>
      </c>
      <c r="H19" s="86">
        <v>70</v>
      </c>
      <c r="I19" s="86">
        <v>70</v>
      </c>
      <c r="J19" s="86">
        <v>145</v>
      </c>
      <c r="K19" s="86">
        <v>550</v>
      </c>
      <c r="L19" s="86">
        <v>15</v>
      </c>
      <c r="M19" s="86">
        <v>60</v>
      </c>
      <c r="N19" s="91">
        <f t="shared" si="0"/>
        <v>910</v>
      </c>
      <c r="O19" s="86" t="s">
        <v>169</v>
      </c>
      <c r="P19" s="101">
        <v>2250</v>
      </c>
      <c r="Q19" s="71"/>
      <c r="R19" s="96">
        <f t="shared" si="1"/>
        <v>3160</v>
      </c>
      <c r="S19" s="105" t="s">
        <v>142</v>
      </c>
      <c r="T19"/>
      <c r="U19"/>
      <c r="V19"/>
      <c r="W19"/>
      <c r="X19"/>
      <c r="Y19"/>
      <c r="Z19"/>
    </row>
    <row r="20" spans="1:26" ht="24" customHeight="1">
      <c r="A20" s="76" t="s">
        <v>335</v>
      </c>
      <c r="B20" s="81" t="s">
        <v>100</v>
      </c>
      <c r="C20" s="81" t="s">
        <v>233</v>
      </c>
      <c r="D20" s="81" t="s">
        <v>17</v>
      </c>
      <c r="E20" s="81" t="s">
        <v>332</v>
      </c>
      <c r="F20" s="81" t="s">
        <v>230</v>
      </c>
      <c r="G20" s="66">
        <v>2</v>
      </c>
      <c r="H20" s="86">
        <v>70</v>
      </c>
      <c r="I20" s="86">
        <v>70</v>
      </c>
      <c r="J20" s="86">
        <v>145</v>
      </c>
      <c r="K20" s="86">
        <v>1500</v>
      </c>
      <c r="L20" s="86">
        <v>15</v>
      </c>
      <c r="M20" s="86">
        <v>60</v>
      </c>
      <c r="N20" s="91">
        <f t="shared" si="0"/>
        <v>1860</v>
      </c>
      <c r="O20" s="86" t="s">
        <v>169</v>
      </c>
      <c r="P20" s="101">
        <v>2300</v>
      </c>
      <c r="Q20" s="71"/>
      <c r="R20" s="96">
        <f t="shared" si="1"/>
        <v>4160</v>
      </c>
      <c r="S20" s="105" t="s">
        <v>140</v>
      </c>
      <c r="T20"/>
      <c r="U20"/>
      <c r="V20"/>
      <c r="W20"/>
      <c r="X20"/>
      <c r="Y20"/>
      <c r="Z20"/>
    </row>
    <row r="21" spans="1:26" ht="22" customHeight="1">
      <c r="A21" s="243" t="s">
        <v>500</v>
      </c>
      <c r="B21" s="244"/>
      <c r="C21" s="244"/>
      <c r="D21" s="244"/>
      <c r="E21" s="244"/>
      <c r="F21" s="244"/>
      <c r="G21" s="244"/>
      <c r="H21" s="244"/>
      <c r="I21" s="244"/>
      <c r="J21" s="244"/>
      <c r="K21" s="244"/>
      <c r="L21" s="244"/>
      <c r="M21" s="244"/>
      <c r="N21" s="244"/>
      <c r="O21" s="244"/>
      <c r="P21" s="244"/>
      <c r="Q21" s="244"/>
      <c r="R21" s="244"/>
      <c r="S21" s="245"/>
      <c r="T21"/>
      <c r="U21"/>
      <c r="V21"/>
      <c r="W21"/>
      <c r="X21"/>
      <c r="Y21"/>
      <c r="Z21"/>
    </row>
    <row r="22" spans="1:26" ht="24" customHeight="1">
      <c r="A22" s="77" t="s">
        <v>201</v>
      </c>
      <c r="B22" s="82" t="s">
        <v>15</v>
      </c>
      <c r="C22" s="82" t="s">
        <v>336</v>
      </c>
      <c r="D22" s="82" t="s">
        <v>17</v>
      </c>
      <c r="E22" s="82" t="s">
        <v>18</v>
      </c>
      <c r="F22" s="82" t="s">
        <v>199</v>
      </c>
      <c r="G22" s="67">
        <v>2</v>
      </c>
      <c r="H22" s="87">
        <v>70</v>
      </c>
      <c r="I22" s="87">
        <v>70</v>
      </c>
      <c r="J22" s="87">
        <v>140</v>
      </c>
      <c r="K22" s="87">
        <v>400</v>
      </c>
      <c r="L22" s="87">
        <v>10</v>
      </c>
      <c r="M22" s="87">
        <v>70</v>
      </c>
      <c r="N22" s="92">
        <f>SUM(H22:M22)</f>
        <v>760</v>
      </c>
      <c r="O22" s="87">
        <v>2685</v>
      </c>
      <c r="P22" s="101">
        <v>2886</v>
      </c>
      <c r="Q22" s="72"/>
      <c r="R22" s="97">
        <f>IFERROR(N22+IF(ISNUMBER(O22),O22,0)+IF(ISNUMBER(P22),P22,0),"")</f>
        <v>6331</v>
      </c>
      <c r="S22" s="106" t="s">
        <v>212</v>
      </c>
      <c r="T22"/>
      <c r="U22"/>
      <c r="V22"/>
      <c r="W22"/>
      <c r="X22"/>
      <c r="Y22"/>
      <c r="Z22"/>
    </row>
    <row r="23" spans="1:26" ht="24" customHeight="1">
      <c r="A23" s="77" t="s">
        <v>204</v>
      </c>
      <c r="B23" s="82" t="s">
        <v>337</v>
      </c>
      <c r="C23" s="82" t="s">
        <v>338</v>
      </c>
      <c r="D23" s="82" t="s">
        <v>17</v>
      </c>
      <c r="E23" s="82" t="s">
        <v>23</v>
      </c>
      <c r="F23" s="82" t="s">
        <v>199</v>
      </c>
      <c r="G23" s="67">
        <v>2</v>
      </c>
      <c r="H23" s="87">
        <v>70</v>
      </c>
      <c r="I23" s="87">
        <v>70</v>
      </c>
      <c r="J23" s="87">
        <v>140</v>
      </c>
      <c r="K23" s="87">
        <v>250</v>
      </c>
      <c r="L23" s="87">
        <v>10</v>
      </c>
      <c r="M23" s="87">
        <v>70</v>
      </c>
      <c r="N23" s="92">
        <f>SUM(H23:M23)</f>
        <v>610</v>
      </c>
      <c r="O23" s="87">
        <v>885</v>
      </c>
      <c r="P23" s="101">
        <v>3979</v>
      </c>
      <c r="Q23" s="72"/>
      <c r="R23" s="97">
        <f>IFERROR(N23+IF(ISNUMBER(O23),O23,0)+IF(ISNUMBER(P23),P23,0),"")</f>
        <v>5474</v>
      </c>
      <c r="S23" s="106" t="s">
        <v>212</v>
      </c>
      <c r="T23"/>
      <c r="U23"/>
      <c r="V23"/>
      <c r="W23"/>
      <c r="X23"/>
      <c r="Y23"/>
      <c r="Z23"/>
    </row>
    <row r="24" spans="1:26" ht="24" customHeight="1">
      <c r="A24" s="77" t="s">
        <v>339</v>
      </c>
      <c r="B24" s="82" t="s">
        <v>24</v>
      </c>
      <c r="C24" s="82" t="s">
        <v>340</v>
      </c>
      <c r="D24" s="82" t="s">
        <v>26</v>
      </c>
      <c r="E24" s="82" t="s">
        <v>27</v>
      </c>
      <c r="F24" s="82" t="s">
        <v>199</v>
      </c>
      <c r="G24" s="67">
        <v>0</v>
      </c>
      <c r="H24" s="87">
        <v>70</v>
      </c>
      <c r="I24" s="87">
        <v>70</v>
      </c>
      <c r="J24" s="87">
        <v>140</v>
      </c>
      <c r="K24" s="87">
        <v>300</v>
      </c>
      <c r="L24" s="87">
        <v>30</v>
      </c>
      <c r="M24" s="87">
        <v>70</v>
      </c>
      <c r="N24" s="92">
        <f>SUM(H24:M24)</f>
        <v>680</v>
      </c>
      <c r="O24" s="87">
        <v>2785</v>
      </c>
      <c r="P24" s="101">
        <v>3770</v>
      </c>
      <c r="Q24" s="72"/>
      <c r="R24" s="97">
        <f>IFERROR(N24+IF(ISNUMBER(O24),O24,0)+IF(ISNUMBER(P24),P24,0),"")</f>
        <v>7235</v>
      </c>
      <c r="S24" s="106" t="s">
        <v>212</v>
      </c>
      <c r="T24"/>
      <c r="U24"/>
      <c r="V24"/>
      <c r="W24"/>
      <c r="X24"/>
      <c r="Y24"/>
      <c r="Z24"/>
    </row>
    <row r="25" spans="1:26" ht="24" customHeight="1">
      <c r="A25" s="77" t="s">
        <v>341</v>
      </c>
      <c r="B25" s="82" t="s">
        <v>28</v>
      </c>
      <c r="C25" s="82" t="s">
        <v>340</v>
      </c>
      <c r="D25" s="82" t="s">
        <v>29</v>
      </c>
      <c r="E25" s="82" t="s">
        <v>27</v>
      </c>
      <c r="F25" s="82" t="s">
        <v>199</v>
      </c>
      <c r="G25" s="67">
        <v>3</v>
      </c>
      <c r="H25" s="87">
        <v>70</v>
      </c>
      <c r="I25" s="87">
        <v>80</v>
      </c>
      <c r="J25" s="87">
        <v>160</v>
      </c>
      <c r="K25" s="87">
        <v>1000</v>
      </c>
      <c r="L25" s="87">
        <v>50</v>
      </c>
      <c r="M25" s="87">
        <v>75</v>
      </c>
      <c r="N25" s="92">
        <f>SUM(H25:M25)</f>
        <v>1435</v>
      </c>
      <c r="O25" s="87">
        <v>2785</v>
      </c>
      <c r="P25" s="101">
        <v>4737</v>
      </c>
      <c r="Q25" s="72"/>
      <c r="R25" s="97">
        <f>IFERROR(N25+IF(ISNUMBER(O25),O25,0)+IF(ISNUMBER(P25),P25,0),"")</f>
        <v>8957</v>
      </c>
      <c r="S25" s="106" t="s">
        <v>212</v>
      </c>
      <c r="T25"/>
      <c r="U25"/>
      <c r="V25"/>
      <c r="W25"/>
      <c r="X25"/>
      <c r="Y25"/>
      <c r="Z25"/>
    </row>
    <row r="26" spans="1:26" ht="24" customHeight="1">
      <c r="A26" s="77" t="s">
        <v>209</v>
      </c>
      <c r="B26" s="82" t="s">
        <v>15</v>
      </c>
      <c r="C26" s="82" t="s">
        <v>340</v>
      </c>
      <c r="D26" s="82" t="s">
        <v>17</v>
      </c>
      <c r="E26" s="82" t="s">
        <v>27</v>
      </c>
      <c r="F26" s="82" t="s">
        <v>199</v>
      </c>
      <c r="G26" s="67">
        <v>3</v>
      </c>
      <c r="H26" s="87">
        <v>70</v>
      </c>
      <c r="I26" s="87">
        <v>70</v>
      </c>
      <c r="J26" s="87">
        <v>140</v>
      </c>
      <c r="K26" s="87">
        <v>400</v>
      </c>
      <c r="L26" s="87">
        <v>10</v>
      </c>
      <c r="M26" s="87">
        <v>70</v>
      </c>
      <c r="N26" s="92">
        <f>SUM(H26:M26)</f>
        <v>760</v>
      </c>
      <c r="O26" s="87">
        <v>2785</v>
      </c>
      <c r="P26" s="101">
        <v>3168</v>
      </c>
      <c r="Q26" s="72"/>
      <c r="R26" s="97">
        <f>IFERROR(N26+IF(ISNUMBER(O26),O26,0)+IF(ISNUMBER(P26),P26,0),"")</f>
        <v>6713</v>
      </c>
      <c r="S26" s="106" t="s">
        <v>212</v>
      </c>
      <c r="T26"/>
      <c r="U26"/>
      <c r="V26"/>
      <c r="W26"/>
      <c r="X26"/>
      <c r="Y26"/>
      <c r="Z26"/>
    </row>
    <row r="27" spans="1:26" ht="22" customHeight="1">
      <c r="A27" s="246" t="s">
        <v>501</v>
      </c>
      <c r="B27" s="247"/>
      <c r="C27" s="247"/>
      <c r="D27" s="247"/>
      <c r="E27" s="247"/>
      <c r="F27" s="247"/>
      <c r="G27" s="247"/>
      <c r="H27" s="247"/>
      <c r="I27" s="247"/>
      <c r="J27" s="247"/>
      <c r="K27" s="247"/>
      <c r="L27" s="247"/>
      <c r="M27" s="247"/>
      <c r="N27" s="247"/>
      <c r="O27" s="247"/>
      <c r="P27" s="247"/>
      <c r="Q27" s="247"/>
      <c r="R27" s="247"/>
      <c r="S27" s="248"/>
      <c r="T27"/>
      <c r="U27"/>
      <c r="V27"/>
      <c r="W27"/>
      <c r="X27"/>
      <c r="Y27"/>
      <c r="Z27"/>
    </row>
    <row r="28" spans="1:26" ht="24" customHeight="1">
      <c r="A28" s="162" t="s">
        <v>225</v>
      </c>
      <c r="B28" s="163" t="s">
        <v>342</v>
      </c>
      <c r="C28" s="163" t="s">
        <v>15</v>
      </c>
      <c r="D28" s="163" t="s">
        <v>56</v>
      </c>
      <c r="E28" s="163" t="s">
        <v>17</v>
      </c>
      <c r="F28" s="163" t="s">
        <v>199</v>
      </c>
      <c r="G28" s="164">
        <v>0</v>
      </c>
      <c r="H28" s="165">
        <v>70</v>
      </c>
      <c r="I28" s="165">
        <v>50</v>
      </c>
      <c r="J28" s="165">
        <v>260</v>
      </c>
      <c r="K28" s="165">
        <v>325</v>
      </c>
      <c r="L28" s="165">
        <v>90</v>
      </c>
      <c r="M28" s="165">
        <v>80</v>
      </c>
      <c r="N28" s="166">
        <f>SUM(H28:M28)</f>
        <v>875</v>
      </c>
      <c r="O28" s="165">
        <v>600</v>
      </c>
      <c r="P28" s="101">
        <v>1</v>
      </c>
      <c r="Q28" s="167"/>
      <c r="R28" s="168">
        <f>IFERROR(N28+IF(ISNUMBER(O28),O28,0)+IF(ISNUMBER(P28),P28,0),"")</f>
        <v>1476</v>
      </c>
      <c r="S28" s="169" t="s">
        <v>131</v>
      </c>
      <c r="T28"/>
      <c r="U28"/>
      <c r="V28"/>
      <c r="W28"/>
      <c r="X28"/>
      <c r="Y28"/>
      <c r="Z28"/>
    </row>
    <row r="29" spans="1:26" ht="24" customHeight="1">
      <c r="A29" s="162" t="s">
        <v>226</v>
      </c>
      <c r="B29" s="163" t="s">
        <v>343</v>
      </c>
      <c r="C29" s="163" t="s">
        <v>15</v>
      </c>
      <c r="D29" s="163" t="s">
        <v>334</v>
      </c>
      <c r="E29" s="163" t="s">
        <v>17</v>
      </c>
      <c r="F29" s="163" t="s">
        <v>199</v>
      </c>
      <c r="G29" s="164">
        <v>1</v>
      </c>
      <c r="H29" s="165">
        <v>70</v>
      </c>
      <c r="I29" s="165">
        <v>35</v>
      </c>
      <c r="J29" s="165">
        <v>145</v>
      </c>
      <c r="K29" s="165">
        <v>350</v>
      </c>
      <c r="L29" s="165">
        <v>150</v>
      </c>
      <c r="M29" s="165">
        <v>50</v>
      </c>
      <c r="N29" s="166">
        <f>SUM(H29:M29)</f>
        <v>800</v>
      </c>
      <c r="O29" s="165">
        <v>600</v>
      </c>
      <c r="P29" s="101">
        <v>1</v>
      </c>
      <c r="Q29" s="167"/>
      <c r="R29" s="168">
        <f>IFERROR(N29+IF(ISNUMBER(O29),O29,0)+IF(ISNUMBER(P29),P29,0),"")</f>
        <v>1401</v>
      </c>
      <c r="S29" s="169" t="s">
        <v>131</v>
      </c>
      <c r="T29"/>
      <c r="U29"/>
      <c r="V29"/>
      <c r="W29"/>
      <c r="X29"/>
      <c r="Y29"/>
      <c r="Z29"/>
    </row>
    <row r="30" spans="1:26" ht="22" customHeight="1">
      <c r="A30" s="249" t="s">
        <v>481</v>
      </c>
      <c r="B30" s="250"/>
      <c r="C30" s="250"/>
      <c r="D30" s="250"/>
      <c r="E30" s="250"/>
      <c r="F30" s="250"/>
      <c r="G30" s="250"/>
      <c r="H30" s="250"/>
      <c r="I30" s="250"/>
      <c r="J30" s="250"/>
      <c r="K30" s="250"/>
      <c r="L30" s="250"/>
      <c r="M30" s="250"/>
      <c r="N30" s="250"/>
      <c r="O30" s="250"/>
      <c r="P30" s="250"/>
      <c r="Q30" s="250"/>
      <c r="R30" s="250"/>
      <c r="S30" s="251"/>
      <c r="T30"/>
      <c r="U30"/>
      <c r="V30"/>
      <c r="W30"/>
      <c r="X30"/>
      <c r="Y30"/>
      <c r="Z30"/>
    </row>
    <row r="31" spans="1:26" ht="24" customHeight="1">
      <c r="A31" s="78" t="s">
        <v>344</v>
      </c>
      <c r="B31" s="83" t="s">
        <v>345</v>
      </c>
      <c r="C31" s="83" t="s">
        <v>346</v>
      </c>
      <c r="D31" s="83" t="s">
        <v>17</v>
      </c>
      <c r="E31" s="83" t="s">
        <v>39</v>
      </c>
      <c r="F31" s="83" t="s">
        <v>199</v>
      </c>
      <c r="G31" s="68">
        <v>1</v>
      </c>
      <c r="H31" s="88">
        <v>70</v>
      </c>
      <c r="I31" s="88">
        <v>70</v>
      </c>
      <c r="J31" s="88">
        <v>140</v>
      </c>
      <c r="K31" s="88">
        <v>250</v>
      </c>
      <c r="L31" s="88">
        <v>10</v>
      </c>
      <c r="M31" s="88">
        <v>70</v>
      </c>
      <c r="N31" s="93">
        <f>SUM(H31:M31)</f>
        <v>610</v>
      </c>
      <c r="O31" s="88">
        <v>800</v>
      </c>
      <c r="P31" s="101">
        <v>395</v>
      </c>
      <c r="Q31" s="73"/>
      <c r="R31" s="98">
        <f>IFERROR(N31+IF(ISNUMBER(O31),O31,0)+IF(ISNUMBER(P31),P31,0),"")</f>
        <v>1805</v>
      </c>
      <c r="S31" s="107" t="s">
        <v>143</v>
      </c>
      <c r="T31"/>
      <c r="U31"/>
      <c r="V31"/>
      <c r="W31"/>
      <c r="X31"/>
      <c r="Y31"/>
      <c r="Z31"/>
    </row>
    <row r="32" spans="1:26" ht="24" customHeight="1">
      <c r="A32" s="78" t="s">
        <v>344</v>
      </c>
      <c r="B32" s="83" t="s">
        <v>347</v>
      </c>
      <c r="C32" s="83" t="s">
        <v>348</v>
      </c>
      <c r="D32" s="83" t="s">
        <v>17</v>
      </c>
      <c r="E32" s="83" t="s">
        <v>39</v>
      </c>
      <c r="F32" s="83" t="s">
        <v>199</v>
      </c>
      <c r="G32" s="68">
        <v>3</v>
      </c>
      <c r="H32" s="88">
        <v>70</v>
      </c>
      <c r="I32" s="88">
        <v>70</v>
      </c>
      <c r="J32" s="88">
        <v>140</v>
      </c>
      <c r="K32" s="88">
        <v>250</v>
      </c>
      <c r="L32" s="88">
        <v>10</v>
      </c>
      <c r="M32" s="88">
        <v>70</v>
      </c>
      <c r="N32" s="93">
        <f>SUM(H32:M32)</f>
        <v>610</v>
      </c>
      <c r="O32" s="88">
        <v>800</v>
      </c>
      <c r="P32" s="101">
        <v>420</v>
      </c>
      <c r="Q32" s="73"/>
      <c r="R32" s="98">
        <f>IFERROR(N32+IF(ISNUMBER(O32),O32,0)+IF(ISNUMBER(P32),P32,0),"")</f>
        <v>1830</v>
      </c>
      <c r="S32" s="107" t="s">
        <v>143</v>
      </c>
      <c r="T32"/>
      <c r="U32"/>
      <c r="V32"/>
      <c r="W32"/>
      <c r="X32"/>
      <c r="Y32"/>
      <c r="Z32"/>
    </row>
    <row r="33" spans="1:26" ht="24" customHeight="1">
      <c r="A33" s="78" t="s">
        <v>349</v>
      </c>
      <c r="B33" s="83" t="s">
        <v>350</v>
      </c>
      <c r="C33" s="83" t="s">
        <v>346</v>
      </c>
      <c r="D33" s="83" t="s">
        <v>44</v>
      </c>
      <c r="E33" s="83" t="s">
        <v>39</v>
      </c>
      <c r="F33" s="83" t="s">
        <v>199</v>
      </c>
      <c r="G33" s="68">
        <v>0.5</v>
      </c>
      <c r="H33" s="88">
        <v>70</v>
      </c>
      <c r="I33" s="88">
        <v>70</v>
      </c>
      <c r="J33" s="88">
        <v>140</v>
      </c>
      <c r="K33" s="88">
        <v>420</v>
      </c>
      <c r="L33" s="88">
        <v>30</v>
      </c>
      <c r="M33" s="88">
        <v>70</v>
      </c>
      <c r="N33" s="93">
        <f>SUM(H33:M33)</f>
        <v>800</v>
      </c>
      <c r="O33" s="88">
        <v>800</v>
      </c>
      <c r="P33" s="101">
        <v>205</v>
      </c>
      <c r="Q33" s="73"/>
      <c r="R33" s="98">
        <f>IFERROR(N33+IF(ISNUMBER(O33),O33,0)+IF(ISNUMBER(P33),P33,0),"")</f>
        <v>1805</v>
      </c>
      <c r="S33" s="107" t="s">
        <v>143</v>
      </c>
      <c r="T33"/>
      <c r="U33"/>
      <c r="V33"/>
      <c r="W33"/>
      <c r="X33"/>
      <c r="Y33"/>
      <c r="Z33"/>
    </row>
    <row r="34" spans="1:26" ht="24" customHeight="1">
      <c r="A34" s="78" t="s">
        <v>351</v>
      </c>
      <c r="B34" s="83" t="s">
        <v>45</v>
      </c>
      <c r="C34" s="83" t="s">
        <v>348</v>
      </c>
      <c r="D34" s="83" t="s">
        <v>46</v>
      </c>
      <c r="E34" s="83" t="s">
        <v>39</v>
      </c>
      <c r="F34" s="83" t="s">
        <v>199</v>
      </c>
      <c r="G34" s="68">
        <v>0.5</v>
      </c>
      <c r="H34" s="88">
        <v>70</v>
      </c>
      <c r="I34" s="88">
        <v>70</v>
      </c>
      <c r="J34" s="88">
        <v>140</v>
      </c>
      <c r="K34" s="88">
        <v>420</v>
      </c>
      <c r="L34" s="88">
        <v>30</v>
      </c>
      <c r="M34" s="88">
        <v>70</v>
      </c>
      <c r="N34" s="93">
        <f>SUM(H34:M34)</f>
        <v>800</v>
      </c>
      <c r="O34" s="88">
        <v>800</v>
      </c>
      <c r="P34" s="101">
        <v>400</v>
      </c>
      <c r="Q34" s="73"/>
      <c r="R34" s="98">
        <f>IFERROR(N34+IF(ISNUMBER(O34),O34,0)+IF(ISNUMBER(P34),P34,0),"")</f>
        <v>2000</v>
      </c>
      <c r="S34" s="107" t="s">
        <v>142</v>
      </c>
      <c r="T34"/>
      <c r="U34"/>
      <c r="V34"/>
      <c r="W34"/>
      <c r="X34"/>
      <c r="Y34"/>
      <c r="Z34"/>
    </row>
    <row r="35" spans="1:26" ht="24" customHeight="1">
      <c r="A35" s="78" t="s">
        <v>352</v>
      </c>
      <c r="B35" s="83" t="s">
        <v>348</v>
      </c>
      <c r="C35" s="83" t="s">
        <v>353</v>
      </c>
      <c r="D35" s="83" t="s">
        <v>39</v>
      </c>
      <c r="E35" s="83" t="s">
        <v>79</v>
      </c>
      <c r="F35" s="83" t="s">
        <v>224</v>
      </c>
      <c r="G35" s="68">
        <v>6</v>
      </c>
      <c r="H35" s="88">
        <v>70</v>
      </c>
      <c r="I35" s="88">
        <v>70</v>
      </c>
      <c r="J35" s="88">
        <v>140</v>
      </c>
      <c r="K35" s="88">
        <v>300</v>
      </c>
      <c r="L35" s="88">
        <v>30</v>
      </c>
      <c r="M35" s="88">
        <v>70</v>
      </c>
      <c r="N35" s="93">
        <f>SUM(H35:M35)</f>
        <v>680</v>
      </c>
      <c r="O35" s="88">
        <v>2200</v>
      </c>
      <c r="P35" s="101">
        <v>2340</v>
      </c>
      <c r="Q35" s="73"/>
      <c r="R35" s="98">
        <f>IFERROR(N35+IF(ISNUMBER(O35),O35,0)+IF(ISNUMBER(P35),P35,0),"")</f>
        <v>5220</v>
      </c>
      <c r="S35" s="107" t="s">
        <v>142</v>
      </c>
      <c r="T35"/>
      <c r="U35"/>
      <c r="V35"/>
      <c r="W35"/>
      <c r="X35"/>
      <c r="Y35"/>
      <c r="Z35"/>
    </row>
    <row r="36" spans="1:26" ht="22" customHeight="1">
      <c r="A36" s="234" t="s">
        <v>497</v>
      </c>
      <c r="B36" s="235"/>
      <c r="C36" s="235"/>
      <c r="D36" s="235"/>
      <c r="E36" s="235"/>
      <c r="F36" s="235"/>
      <c r="G36" s="235"/>
      <c r="H36" s="235"/>
      <c r="I36" s="235"/>
      <c r="J36" s="235"/>
      <c r="K36" s="235"/>
      <c r="L36" s="235"/>
      <c r="M36" s="235"/>
      <c r="N36" s="235"/>
      <c r="O36" s="235"/>
      <c r="P36" s="235"/>
      <c r="Q36" s="235"/>
      <c r="R36" s="235"/>
      <c r="S36" s="236"/>
      <c r="T36"/>
      <c r="U36"/>
      <c r="V36"/>
      <c r="W36"/>
      <c r="X36"/>
      <c r="Y36"/>
      <c r="Z36"/>
    </row>
    <row r="37" spans="1:26" ht="24" customHeight="1">
      <c r="A37" s="79" t="s">
        <v>211</v>
      </c>
      <c r="B37" s="84" t="s">
        <v>354</v>
      </c>
      <c r="C37" s="84" t="s">
        <v>353</v>
      </c>
      <c r="D37" s="84" t="s">
        <v>17</v>
      </c>
      <c r="E37" s="84" t="s">
        <v>79</v>
      </c>
      <c r="F37" s="84" t="s">
        <v>199</v>
      </c>
      <c r="G37" s="69">
        <v>1</v>
      </c>
      <c r="H37" s="89">
        <v>70</v>
      </c>
      <c r="I37" s="89">
        <v>70</v>
      </c>
      <c r="J37" s="89">
        <v>140</v>
      </c>
      <c r="K37" s="89">
        <v>400</v>
      </c>
      <c r="L37" s="89">
        <v>10</v>
      </c>
      <c r="M37" s="89">
        <v>70</v>
      </c>
      <c r="N37" s="94">
        <f>SUM(H37:M37)</f>
        <v>760</v>
      </c>
      <c r="O37" s="89">
        <v>2200</v>
      </c>
      <c r="P37" s="101">
        <v>1990</v>
      </c>
      <c r="Q37" s="74"/>
      <c r="R37" s="99">
        <f>IFERROR(N37+IF(ISNUMBER(O37),O37,0)+IF(ISNUMBER(P37),P37,0),"")</f>
        <v>4950</v>
      </c>
      <c r="S37" s="108" t="s">
        <v>142</v>
      </c>
      <c r="T37"/>
      <c r="U37"/>
      <c r="V37"/>
      <c r="W37"/>
      <c r="X37"/>
      <c r="Y37"/>
      <c r="Z37"/>
    </row>
    <row r="38" spans="1:26" ht="24" customHeight="1">
      <c r="A38" s="79" t="s">
        <v>355</v>
      </c>
      <c r="B38" s="84" t="s">
        <v>64</v>
      </c>
      <c r="C38" s="84" t="s">
        <v>353</v>
      </c>
      <c r="D38" s="84" t="s">
        <v>29</v>
      </c>
      <c r="E38" s="84" t="s">
        <v>79</v>
      </c>
      <c r="F38" s="84" t="s">
        <v>199</v>
      </c>
      <c r="G38" s="69">
        <v>3</v>
      </c>
      <c r="H38" s="89">
        <v>70</v>
      </c>
      <c r="I38" s="89">
        <v>70</v>
      </c>
      <c r="J38" s="89">
        <v>140</v>
      </c>
      <c r="K38" s="89">
        <v>300</v>
      </c>
      <c r="L38" s="89">
        <v>250</v>
      </c>
      <c r="M38" s="89">
        <v>70</v>
      </c>
      <c r="N38" s="94">
        <f>SUM(H38:M38)</f>
        <v>900</v>
      </c>
      <c r="O38" s="89">
        <v>2200</v>
      </c>
      <c r="P38" s="101">
        <v>1590</v>
      </c>
      <c r="Q38" s="74"/>
      <c r="R38" s="99">
        <f>IFERROR(N38+IF(ISNUMBER(O38),O38,0)+IF(ISNUMBER(P38),P38,0),"")</f>
        <v>4690</v>
      </c>
      <c r="S38" s="108" t="s">
        <v>142</v>
      </c>
      <c r="T38"/>
      <c r="U38"/>
      <c r="V38"/>
      <c r="W38"/>
      <c r="X38"/>
      <c r="Y38"/>
      <c r="Z38"/>
    </row>
    <row r="39" spans="1:26" ht="24" customHeight="1" thickBot="1">
      <c r="A39" s="80" t="s">
        <v>215</v>
      </c>
      <c r="B39" s="85" t="s">
        <v>74</v>
      </c>
      <c r="C39" s="85" t="s">
        <v>353</v>
      </c>
      <c r="D39" s="85" t="s">
        <v>56</v>
      </c>
      <c r="E39" s="85" t="s">
        <v>79</v>
      </c>
      <c r="F39" s="85" t="s">
        <v>199</v>
      </c>
      <c r="G39" s="70">
        <v>0.5</v>
      </c>
      <c r="H39" s="90">
        <v>70</v>
      </c>
      <c r="I39" s="90">
        <v>70</v>
      </c>
      <c r="J39" s="90">
        <v>140</v>
      </c>
      <c r="K39" s="90">
        <v>300</v>
      </c>
      <c r="L39" s="90">
        <v>250</v>
      </c>
      <c r="M39" s="90">
        <v>70</v>
      </c>
      <c r="N39" s="95">
        <f>SUM(H39:M39)</f>
        <v>900</v>
      </c>
      <c r="O39" s="90">
        <v>2200</v>
      </c>
      <c r="P39" s="102">
        <v>1590</v>
      </c>
      <c r="Q39" s="75"/>
      <c r="R39" s="100">
        <f>IFERROR(N39+IF(ISNUMBER(O39),O39,0)+IF(ISNUMBER(P39),P39,0),"")</f>
        <v>4690</v>
      </c>
      <c r="S39" s="109" t="s">
        <v>142</v>
      </c>
      <c r="T39"/>
      <c r="U39"/>
      <c r="V39"/>
      <c r="W39"/>
      <c r="X39"/>
      <c r="Y39"/>
      <c r="Z39"/>
    </row>
    <row r="40" spans="1:26">
      <c r="A40"/>
      <c r="B40"/>
      <c r="C40"/>
      <c r="D40"/>
      <c r="E40"/>
      <c r="F40"/>
      <c r="G40"/>
      <c r="H40"/>
      <c r="I40"/>
      <c r="J40"/>
      <c r="K40"/>
      <c r="L40"/>
      <c r="M40"/>
      <c r="N40"/>
      <c r="O40"/>
      <c r="P40"/>
      <c r="Q40"/>
      <c r="R40"/>
      <c r="S40"/>
      <c r="T40"/>
      <c r="U40"/>
      <c r="V40"/>
      <c r="W40"/>
      <c r="X40"/>
      <c r="Y40"/>
      <c r="Z40"/>
    </row>
    <row r="41" spans="1:26">
      <c r="A41"/>
      <c r="B41"/>
      <c r="C41"/>
      <c r="D41"/>
      <c r="E41"/>
      <c r="F41"/>
      <c r="G41"/>
      <c r="H41"/>
      <c r="I41"/>
      <c r="J41"/>
      <c r="K41"/>
      <c r="L41"/>
      <c r="M41"/>
      <c r="N41"/>
      <c r="O41"/>
      <c r="P41"/>
      <c r="Q41"/>
      <c r="R41"/>
      <c r="S41"/>
      <c r="T41"/>
      <c r="U41"/>
      <c r="V41"/>
      <c r="W41"/>
      <c r="X41"/>
      <c r="Y41"/>
      <c r="Z41"/>
    </row>
    <row r="42" spans="1:26">
      <c r="A42"/>
      <c r="B42"/>
      <c r="C42"/>
      <c r="D42"/>
      <c r="E42"/>
      <c r="F42"/>
      <c r="G42"/>
      <c r="H42"/>
      <c r="I42"/>
      <c r="J42"/>
      <c r="K42"/>
      <c r="L42"/>
      <c r="M42"/>
      <c r="N42"/>
      <c r="O42"/>
      <c r="P42"/>
      <c r="Q42"/>
      <c r="R42"/>
      <c r="S42"/>
      <c r="T42"/>
      <c r="U42"/>
      <c r="V42"/>
      <c r="W42"/>
      <c r="X42"/>
      <c r="Y42"/>
      <c r="Z42"/>
    </row>
    <row r="43" spans="1:26">
      <c r="A43"/>
      <c r="B43"/>
      <c r="C43"/>
      <c r="D43"/>
      <c r="E43"/>
      <c r="F43"/>
      <c r="G43"/>
      <c r="H43"/>
      <c r="I43"/>
      <c r="J43"/>
      <c r="K43"/>
      <c r="L43"/>
      <c r="M43"/>
      <c r="N43"/>
      <c r="O43"/>
      <c r="P43"/>
      <c r="Q43"/>
      <c r="R43"/>
      <c r="S43"/>
      <c r="T43"/>
      <c r="U43"/>
      <c r="V43"/>
      <c r="W43"/>
      <c r="X43"/>
      <c r="Y43"/>
      <c r="Z43"/>
    </row>
    <row r="44" spans="1:26">
      <c r="A44"/>
      <c r="B44"/>
      <c r="C44"/>
      <c r="D44"/>
      <c r="E44"/>
      <c r="F44"/>
      <c r="G44"/>
      <c r="H44"/>
      <c r="I44"/>
      <c r="J44"/>
      <c r="K44"/>
      <c r="L44"/>
      <c r="M44"/>
      <c r="N44"/>
      <c r="O44"/>
      <c r="P44"/>
      <c r="Q44"/>
      <c r="R44"/>
      <c r="S44"/>
      <c r="T44"/>
      <c r="U44"/>
      <c r="V44"/>
      <c r="W44"/>
      <c r="X44"/>
      <c r="Y44"/>
      <c r="Z44"/>
    </row>
    <row r="45" spans="1:26">
      <c r="A45"/>
      <c r="B45"/>
      <c r="C45"/>
      <c r="D45"/>
      <c r="E45"/>
      <c r="F45"/>
      <c r="G45"/>
      <c r="H45"/>
      <c r="I45"/>
      <c r="J45"/>
      <c r="K45"/>
      <c r="L45"/>
      <c r="M45"/>
      <c r="N45"/>
      <c r="O45"/>
      <c r="P45"/>
      <c r="Q45"/>
      <c r="R45"/>
      <c r="S45"/>
      <c r="T45"/>
      <c r="U45"/>
      <c r="V45"/>
      <c r="W45"/>
      <c r="X45"/>
      <c r="Y45"/>
      <c r="Z45"/>
    </row>
    <row r="46" spans="1:26">
      <c r="A46"/>
      <c r="B46"/>
      <c r="C46"/>
      <c r="D46"/>
      <c r="E46"/>
      <c r="F46"/>
      <c r="G46"/>
      <c r="H46"/>
      <c r="I46"/>
      <c r="J46"/>
      <c r="K46"/>
      <c r="L46"/>
      <c r="M46"/>
      <c r="N46"/>
      <c r="O46"/>
      <c r="P46"/>
      <c r="Q46"/>
      <c r="R46"/>
      <c r="S46"/>
      <c r="T46"/>
      <c r="U46"/>
      <c r="V46"/>
      <c r="W46"/>
      <c r="X46"/>
      <c r="Y46"/>
      <c r="Z46"/>
    </row>
    <row r="47" spans="1:26">
      <c r="A47"/>
      <c r="B47"/>
      <c r="C47"/>
      <c r="D47"/>
      <c r="E47"/>
      <c r="F47"/>
      <c r="G47"/>
      <c r="H47"/>
      <c r="I47"/>
      <c r="J47"/>
      <c r="K47"/>
      <c r="L47"/>
      <c r="M47"/>
      <c r="N47"/>
      <c r="O47"/>
      <c r="P47"/>
      <c r="Q47"/>
      <c r="R47"/>
      <c r="S47"/>
      <c r="T47"/>
      <c r="U47"/>
      <c r="V47"/>
      <c r="W47"/>
      <c r="X47"/>
      <c r="Y47"/>
      <c r="Z47"/>
    </row>
    <row r="48" spans="1:26">
      <c r="A48"/>
      <c r="B48"/>
      <c r="C48"/>
      <c r="D48"/>
      <c r="E48"/>
      <c r="F48"/>
      <c r="G48"/>
      <c r="H48"/>
      <c r="I48"/>
      <c r="J48"/>
      <c r="K48"/>
      <c r="L48"/>
      <c r="M48"/>
      <c r="N48"/>
      <c r="O48"/>
      <c r="P48"/>
      <c r="Q48"/>
      <c r="R48"/>
      <c r="S48"/>
      <c r="T48"/>
      <c r="U48"/>
      <c r="V48"/>
      <c r="W48"/>
      <c r="X48"/>
      <c r="Y48"/>
      <c r="Z48"/>
    </row>
    <row r="49" spans="1:26">
      <c r="A49"/>
      <c r="B49"/>
      <c r="C49"/>
      <c r="D49"/>
      <c r="E49"/>
      <c r="F49"/>
      <c r="G49"/>
      <c r="H49"/>
      <c r="I49"/>
      <c r="J49"/>
      <c r="K49"/>
      <c r="L49"/>
      <c r="M49"/>
      <c r="N49"/>
      <c r="O49"/>
      <c r="P49"/>
      <c r="Q49"/>
      <c r="R49"/>
      <c r="S49"/>
      <c r="T49"/>
      <c r="U49"/>
      <c r="V49"/>
      <c r="W49"/>
      <c r="X49"/>
      <c r="Y49"/>
      <c r="Z49"/>
    </row>
    <row r="50" spans="1:26">
      <c r="A50"/>
      <c r="B50"/>
      <c r="C50"/>
      <c r="D50"/>
      <c r="E50"/>
      <c r="F50"/>
      <c r="G50"/>
      <c r="H50"/>
      <c r="I50"/>
      <c r="J50"/>
      <c r="K50"/>
      <c r="L50"/>
      <c r="M50"/>
      <c r="N50"/>
      <c r="O50"/>
      <c r="P50"/>
      <c r="Q50"/>
      <c r="R50"/>
      <c r="S50"/>
      <c r="T50"/>
      <c r="U50"/>
      <c r="V50"/>
      <c r="W50"/>
      <c r="X50"/>
      <c r="Y50"/>
      <c r="Z50"/>
    </row>
    <row r="51" spans="1:26">
      <c r="A51"/>
      <c r="B51"/>
      <c r="C51"/>
      <c r="D51"/>
      <c r="E51"/>
      <c r="F51"/>
      <c r="G51"/>
      <c r="H51"/>
      <c r="I51"/>
      <c r="J51"/>
      <c r="K51"/>
      <c r="L51"/>
      <c r="M51"/>
      <c r="N51"/>
      <c r="O51"/>
      <c r="P51"/>
      <c r="Q51"/>
      <c r="R51"/>
      <c r="S51"/>
      <c r="T51"/>
      <c r="U51"/>
      <c r="V51"/>
      <c r="W51"/>
      <c r="X51"/>
      <c r="Y51"/>
      <c r="Z51"/>
    </row>
    <row r="52" spans="1:26">
      <c r="A52"/>
      <c r="B52"/>
      <c r="C52"/>
      <c r="D52"/>
      <c r="E52"/>
      <c r="F52"/>
      <c r="G52"/>
      <c r="H52"/>
      <c r="I52"/>
      <c r="J52"/>
      <c r="K52"/>
      <c r="L52"/>
      <c r="M52"/>
      <c r="N52"/>
      <c r="O52"/>
      <c r="P52"/>
      <c r="Q52"/>
      <c r="R52"/>
      <c r="S52"/>
      <c r="T52"/>
      <c r="U52"/>
      <c r="V52"/>
      <c r="W52"/>
      <c r="X52"/>
      <c r="Y52"/>
      <c r="Z52"/>
    </row>
    <row r="53" spans="1:26">
      <c r="A53"/>
      <c r="B53"/>
      <c r="C53"/>
      <c r="D53"/>
      <c r="E53"/>
      <c r="F53"/>
      <c r="G53"/>
      <c r="H53"/>
      <c r="I53"/>
      <c r="J53"/>
      <c r="K53"/>
      <c r="L53"/>
      <c r="M53"/>
      <c r="N53"/>
      <c r="O53"/>
      <c r="P53"/>
      <c r="Q53"/>
      <c r="R53"/>
      <c r="S53"/>
      <c r="T53"/>
      <c r="U53"/>
      <c r="V53"/>
      <c r="W53"/>
      <c r="X53"/>
      <c r="Y53"/>
      <c r="Z53"/>
    </row>
    <row r="54" spans="1:26">
      <c r="A54"/>
      <c r="B54"/>
      <c r="C54"/>
      <c r="D54"/>
      <c r="E54"/>
      <c r="F54"/>
      <c r="G54"/>
      <c r="H54"/>
      <c r="I54"/>
      <c r="J54"/>
      <c r="K54"/>
      <c r="L54"/>
      <c r="M54"/>
      <c r="N54"/>
      <c r="O54"/>
      <c r="P54"/>
      <c r="Q54"/>
      <c r="R54"/>
      <c r="S54"/>
      <c r="T54"/>
      <c r="U54"/>
      <c r="V54"/>
      <c r="W54"/>
      <c r="X54"/>
      <c r="Y54"/>
      <c r="Z54"/>
    </row>
    <row r="55" spans="1:26">
      <c r="A55"/>
      <c r="B55"/>
      <c r="C55"/>
      <c r="D55"/>
      <c r="E55"/>
      <c r="F55"/>
      <c r="G55"/>
      <c r="H55"/>
      <c r="I55"/>
      <c r="J55"/>
      <c r="K55"/>
      <c r="L55"/>
      <c r="M55"/>
      <c r="N55"/>
      <c r="O55"/>
      <c r="P55"/>
      <c r="Q55"/>
      <c r="R55"/>
      <c r="S55"/>
      <c r="T55"/>
      <c r="U55"/>
      <c r="V55"/>
      <c r="W55"/>
      <c r="X55"/>
      <c r="Y55"/>
      <c r="Z55"/>
    </row>
    <row r="56" spans="1:26">
      <c r="A56"/>
      <c r="B56"/>
      <c r="C56"/>
      <c r="D56"/>
      <c r="E56"/>
      <c r="F56"/>
      <c r="G56"/>
      <c r="H56"/>
      <c r="I56"/>
      <c r="J56"/>
      <c r="K56"/>
      <c r="L56"/>
      <c r="M56"/>
      <c r="N56"/>
      <c r="O56"/>
      <c r="P56"/>
      <c r="Q56"/>
      <c r="R56"/>
      <c r="S56"/>
      <c r="T56"/>
      <c r="U56"/>
      <c r="V56"/>
      <c r="W56"/>
      <c r="X56"/>
      <c r="Y56"/>
      <c r="Z56"/>
    </row>
    <row r="57" spans="1:26">
      <c r="A57"/>
      <c r="B57"/>
      <c r="C57"/>
      <c r="D57"/>
      <c r="E57"/>
      <c r="F57"/>
      <c r="G57"/>
      <c r="H57"/>
      <c r="I57"/>
      <c r="J57"/>
      <c r="K57"/>
      <c r="L57"/>
      <c r="M57"/>
      <c r="N57"/>
      <c r="O57"/>
      <c r="P57"/>
      <c r="Q57"/>
      <c r="R57"/>
      <c r="S57"/>
      <c r="T57"/>
      <c r="U57"/>
      <c r="V57"/>
      <c r="W57"/>
      <c r="X57"/>
      <c r="Y57"/>
      <c r="Z57"/>
    </row>
    <row r="58" spans="1:26">
      <c r="A58"/>
      <c r="B58"/>
      <c r="C58"/>
      <c r="D58"/>
      <c r="E58"/>
      <c r="F58"/>
      <c r="G58"/>
      <c r="H58"/>
      <c r="I58"/>
      <c r="J58"/>
      <c r="K58"/>
      <c r="L58"/>
      <c r="M58"/>
      <c r="N58"/>
      <c r="O58"/>
      <c r="P58"/>
      <c r="Q58"/>
      <c r="R58"/>
      <c r="S58"/>
      <c r="T58"/>
      <c r="U58"/>
      <c r="V58"/>
      <c r="W58"/>
      <c r="X58"/>
      <c r="Y58"/>
      <c r="Z58"/>
    </row>
    <row r="59" spans="1:26">
      <c r="A59"/>
      <c r="B59"/>
      <c r="C59"/>
      <c r="D59"/>
      <c r="E59"/>
      <c r="F59"/>
      <c r="G59"/>
      <c r="H59"/>
      <c r="I59"/>
      <c r="J59"/>
      <c r="K59"/>
      <c r="L59"/>
      <c r="M59"/>
      <c r="N59"/>
      <c r="O59"/>
      <c r="P59"/>
      <c r="Q59"/>
      <c r="R59"/>
      <c r="S59"/>
      <c r="T59"/>
      <c r="U59"/>
      <c r="V59"/>
      <c r="W59"/>
      <c r="X59"/>
      <c r="Y59"/>
      <c r="Z59"/>
    </row>
    <row r="60" spans="1:26">
      <c r="A60"/>
      <c r="B60"/>
      <c r="C60"/>
      <c r="D60"/>
      <c r="E60"/>
      <c r="F60"/>
      <c r="G60"/>
      <c r="H60"/>
      <c r="I60"/>
      <c r="J60"/>
      <c r="K60"/>
      <c r="L60"/>
      <c r="M60"/>
      <c r="N60"/>
      <c r="O60"/>
      <c r="P60"/>
      <c r="Q60"/>
      <c r="R60"/>
      <c r="S60"/>
      <c r="T60"/>
      <c r="U60"/>
      <c r="V60"/>
      <c r="W60"/>
      <c r="X60"/>
      <c r="Y60"/>
      <c r="Z60"/>
    </row>
    <row r="61" spans="1:26">
      <c r="A61"/>
      <c r="B61"/>
      <c r="C61"/>
      <c r="D61"/>
      <c r="E61"/>
      <c r="F61"/>
      <c r="G61"/>
      <c r="H61"/>
      <c r="I61"/>
      <c r="J61"/>
      <c r="K61"/>
      <c r="L61"/>
      <c r="M61"/>
      <c r="N61"/>
      <c r="O61"/>
      <c r="P61"/>
      <c r="Q61"/>
      <c r="R61"/>
      <c r="S61"/>
      <c r="T61"/>
      <c r="U61"/>
      <c r="V61"/>
      <c r="W61"/>
      <c r="X61"/>
      <c r="Y61"/>
      <c r="Z61"/>
    </row>
    <row r="62" spans="1:26">
      <c r="A62"/>
      <c r="B62"/>
      <c r="C62"/>
      <c r="D62"/>
      <c r="E62"/>
      <c r="F62"/>
      <c r="G62"/>
      <c r="H62"/>
      <c r="I62"/>
      <c r="J62"/>
      <c r="K62"/>
      <c r="L62"/>
      <c r="M62"/>
      <c r="N62"/>
      <c r="O62"/>
      <c r="P62"/>
      <c r="Q62"/>
      <c r="R62"/>
      <c r="S62"/>
      <c r="T62"/>
      <c r="U62"/>
      <c r="V62"/>
      <c r="W62"/>
      <c r="X62"/>
      <c r="Y62"/>
      <c r="Z62"/>
    </row>
    <row r="63" spans="1:26">
      <c r="A63"/>
      <c r="B63"/>
      <c r="C63"/>
      <c r="D63"/>
      <c r="E63"/>
      <c r="F63"/>
      <c r="G63"/>
      <c r="H63"/>
      <c r="I63"/>
      <c r="J63"/>
      <c r="K63"/>
      <c r="L63"/>
      <c r="M63"/>
      <c r="N63"/>
      <c r="O63"/>
      <c r="P63"/>
      <c r="Q63"/>
      <c r="R63"/>
      <c r="S63"/>
      <c r="T63"/>
      <c r="U63"/>
      <c r="V63"/>
      <c r="W63"/>
      <c r="X63"/>
      <c r="Y63"/>
      <c r="Z63"/>
    </row>
    <row r="64" spans="1:26">
      <c r="A64"/>
      <c r="B64"/>
      <c r="C64"/>
      <c r="D64"/>
      <c r="E64"/>
      <c r="F64"/>
      <c r="G64"/>
      <c r="H64"/>
      <c r="I64"/>
      <c r="J64"/>
      <c r="K64"/>
      <c r="L64"/>
      <c r="M64"/>
      <c r="N64"/>
      <c r="O64"/>
      <c r="P64"/>
      <c r="Q64"/>
      <c r="R64"/>
      <c r="S64"/>
      <c r="T64"/>
      <c r="U64"/>
      <c r="V64"/>
      <c r="W64"/>
      <c r="X64"/>
      <c r="Y64"/>
      <c r="Z64"/>
    </row>
    <row r="65" spans="1:26">
      <c r="A65"/>
      <c r="B65"/>
      <c r="C65"/>
      <c r="D65"/>
      <c r="E65"/>
      <c r="F65"/>
      <c r="G65"/>
      <c r="H65"/>
      <c r="I65"/>
      <c r="J65"/>
      <c r="K65"/>
      <c r="L65"/>
      <c r="M65"/>
      <c r="N65"/>
      <c r="O65"/>
      <c r="P65"/>
      <c r="Q65"/>
      <c r="R65"/>
      <c r="S65"/>
      <c r="T65"/>
      <c r="U65"/>
      <c r="V65"/>
      <c r="W65"/>
      <c r="X65"/>
      <c r="Y65"/>
      <c r="Z65"/>
    </row>
    <row r="66" spans="1:26">
      <c r="A66"/>
      <c r="B66"/>
      <c r="C66"/>
      <c r="D66"/>
      <c r="E66"/>
      <c r="F66"/>
      <c r="G66"/>
      <c r="H66"/>
      <c r="I66"/>
      <c r="J66"/>
      <c r="K66"/>
      <c r="L66"/>
      <c r="M66"/>
      <c r="N66"/>
      <c r="O66"/>
      <c r="P66"/>
      <c r="Q66"/>
      <c r="R66"/>
      <c r="S66"/>
      <c r="T66"/>
      <c r="U66"/>
      <c r="V66"/>
      <c r="W66"/>
      <c r="X66"/>
      <c r="Y66"/>
      <c r="Z66"/>
    </row>
    <row r="67" spans="1:26">
      <c r="A67"/>
      <c r="B67"/>
      <c r="C67"/>
      <c r="D67"/>
      <c r="E67"/>
      <c r="F67"/>
      <c r="G67"/>
      <c r="H67"/>
      <c r="I67"/>
      <c r="J67"/>
      <c r="K67"/>
      <c r="L67"/>
      <c r="M67"/>
      <c r="N67"/>
      <c r="O67"/>
      <c r="P67"/>
      <c r="Q67"/>
      <c r="R67"/>
      <c r="S67"/>
      <c r="T67"/>
      <c r="U67"/>
      <c r="V67"/>
      <c r="W67"/>
      <c r="X67"/>
      <c r="Y67"/>
      <c r="Z67"/>
    </row>
    <row r="68" spans="1:26">
      <c r="A68"/>
      <c r="B68"/>
      <c r="C68"/>
      <c r="D68"/>
      <c r="E68"/>
      <c r="F68"/>
      <c r="G68"/>
      <c r="H68"/>
      <c r="I68"/>
      <c r="J68"/>
      <c r="K68"/>
      <c r="L68"/>
      <c r="M68"/>
      <c r="N68"/>
      <c r="O68"/>
      <c r="P68"/>
      <c r="Q68"/>
      <c r="R68"/>
      <c r="S68"/>
      <c r="T68"/>
      <c r="U68"/>
      <c r="V68"/>
      <c r="W68"/>
      <c r="X68"/>
      <c r="Y68"/>
      <c r="Z68"/>
    </row>
    <row r="69" spans="1:26">
      <c r="A69"/>
      <c r="B69"/>
      <c r="C69"/>
      <c r="D69"/>
      <c r="E69"/>
      <c r="F69"/>
      <c r="G69"/>
      <c r="H69"/>
      <c r="I69"/>
      <c r="J69"/>
      <c r="K69"/>
      <c r="L69"/>
      <c r="M69"/>
      <c r="N69"/>
      <c r="O69"/>
      <c r="P69"/>
      <c r="Q69"/>
      <c r="R69"/>
      <c r="S69"/>
      <c r="T69"/>
      <c r="U69"/>
      <c r="V69"/>
      <c r="W69"/>
      <c r="X69"/>
      <c r="Y69"/>
      <c r="Z69"/>
    </row>
    <row r="70" spans="1:26">
      <c r="A70"/>
      <c r="B70"/>
      <c r="C70"/>
      <c r="D70"/>
      <c r="E70"/>
      <c r="F70"/>
      <c r="G70"/>
      <c r="H70"/>
      <c r="I70"/>
      <c r="J70"/>
      <c r="K70"/>
      <c r="L70"/>
      <c r="M70"/>
      <c r="N70"/>
      <c r="O70"/>
      <c r="P70"/>
      <c r="Q70"/>
      <c r="R70"/>
      <c r="S70"/>
      <c r="T70"/>
      <c r="U70"/>
      <c r="V70"/>
      <c r="W70"/>
      <c r="X70"/>
      <c r="Y70"/>
      <c r="Z70"/>
    </row>
    <row r="71" spans="1:26">
      <c r="A71"/>
      <c r="B71"/>
      <c r="C71"/>
      <c r="D71"/>
      <c r="E71"/>
      <c r="F71"/>
      <c r="G71"/>
      <c r="H71"/>
      <c r="I71"/>
      <c r="J71"/>
      <c r="K71"/>
      <c r="L71"/>
      <c r="M71"/>
      <c r="N71"/>
      <c r="O71"/>
      <c r="P71"/>
      <c r="Q71"/>
      <c r="R71"/>
      <c r="S71"/>
      <c r="T71"/>
      <c r="U71"/>
      <c r="V71"/>
      <c r="W71"/>
      <c r="X71"/>
      <c r="Y71"/>
      <c r="Z71"/>
    </row>
    <row r="72" spans="1:26">
      <c r="A72"/>
      <c r="B72"/>
      <c r="C72"/>
      <c r="D72"/>
      <c r="E72"/>
      <c r="F72"/>
      <c r="G72"/>
      <c r="H72"/>
      <c r="I72"/>
      <c r="J72"/>
      <c r="K72"/>
      <c r="L72"/>
      <c r="M72"/>
      <c r="N72"/>
      <c r="O72"/>
      <c r="P72"/>
      <c r="Q72"/>
      <c r="R72"/>
      <c r="S72"/>
      <c r="T72"/>
      <c r="U72"/>
      <c r="V72"/>
      <c r="W72"/>
      <c r="X72"/>
      <c r="Y72"/>
      <c r="Z72"/>
    </row>
    <row r="73" spans="1:26">
      <c r="A73"/>
      <c r="B73"/>
      <c r="C73"/>
      <c r="D73"/>
      <c r="E73"/>
      <c r="F73"/>
      <c r="G73"/>
      <c r="H73"/>
      <c r="I73"/>
      <c r="J73"/>
      <c r="K73"/>
      <c r="L73"/>
      <c r="M73"/>
      <c r="N73"/>
      <c r="O73"/>
      <c r="P73"/>
      <c r="Q73"/>
      <c r="R73"/>
      <c r="S73"/>
      <c r="T73"/>
      <c r="U73"/>
      <c r="V73"/>
      <c r="W73"/>
      <c r="X73"/>
      <c r="Y73"/>
      <c r="Z73"/>
    </row>
    <row r="74" spans="1:26">
      <c r="A74"/>
      <c r="B74"/>
      <c r="C74"/>
      <c r="D74"/>
      <c r="E74"/>
      <c r="F74"/>
      <c r="G74"/>
      <c r="H74"/>
      <c r="I74"/>
      <c r="J74"/>
      <c r="K74"/>
      <c r="L74"/>
      <c r="M74"/>
      <c r="N74"/>
      <c r="O74"/>
      <c r="P74"/>
      <c r="Q74"/>
      <c r="R74"/>
      <c r="S74"/>
      <c r="T74"/>
      <c r="U74"/>
      <c r="V74"/>
      <c r="W74"/>
      <c r="X74"/>
      <c r="Y74"/>
      <c r="Z74"/>
    </row>
    <row r="75" spans="1:26">
      <c r="A75"/>
      <c r="B75"/>
      <c r="C75"/>
      <c r="D75"/>
      <c r="E75"/>
      <c r="F75"/>
      <c r="G75"/>
      <c r="H75"/>
      <c r="I75"/>
      <c r="J75"/>
      <c r="K75"/>
      <c r="L75"/>
      <c r="M75"/>
      <c r="N75"/>
      <c r="O75"/>
      <c r="P75"/>
      <c r="Q75"/>
      <c r="R75"/>
      <c r="S75"/>
      <c r="T75"/>
      <c r="U75"/>
      <c r="V75"/>
      <c r="W75"/>
      <c r="X75"/>
      <c r="Y75"/>
      <c r="Z75"/>
    </row>
    <row r="76" spans="1:26">
      <c r="A76"/>
      <c r="B76"/>
      <c r="C76"/>
      <c r="D76"/>
      <c r="E76"/>
      <c r="F76"/>
      <c r="G76"/>
      <c r="H76"/>
      <c r="I76"/>
      <c r="J76"/>
      <c r="K76"/>
      <c r="L76"/>
      <c r="M76"/>
      <c r="N76"/>
      <c r="O76"/>
      <c r="P76"/>
      <c r="Q76"/>
      <c r="R76"/>
      <c r="S76"/>
      <c r="T76"/>
      <c r="U76"/>
      <c r="V76"/>
      <c r="W76"/>
      <c r="X76"/>
      <c r="Y76"/>
      <c r="Z76"/>
    </row>
    <row r="77" spans="1:26">
      <c r="A77"/>
      <c r="B77"/>
      <c r="C77"/>
      <c r="D77"/>
      <c r="E77"/>
      <c r="F77"/>
      <c r="G77"/>
      <c r="H77"/>
      <c r="I77"/>
      <c r="J77"/>
      <c r="K77"/>
      <c r="L77"/>
      <c r="M77"/>
      <c r="N77"/>
      <c r="O77"/>
      <c r="P77"/>
      <c r="Q77"/>
      <c r="R77"/>
      <c r="S77"/>
      <c r="T77"/>
      <c r="U77"/>
      <c r="V77"/>
      <c r="W77"/>
      <c r="X77"/>
      <c r="Y77"/>
      <c r="Z77"/>
    </row>
    <row r="78" spans="1:26">
      <c r="A78"/>
      <c r="B78"/>
      <c r="C78"/>
      <c r="D78"/>
      <c r="E78"/>
      <c r="F78"/>
      <c r="G78"/>
      <c r="H78"/>
      <c r="I78"/>
      <c r="J78"/>
      <c r="K78"/>
      <c r="L78"/>
      <c r="M78"/>
      <c r="N78"/>
      <c r="O78"/>
      <c r="P78"/>
      <c r="Q78"/>
      <c r="R78"/>
      <c r="S78"/>
      <c r="T78"/>
      <c r="U78"/>
      <c r="V78"/>
      <c r="W78"/>
      <c r="X78"/>
      <c r="Y78"/>
      <c r="Z78"/>
    </row>
    <row r="79" spans="1:26">
      <c r="A79"/>
      <c r="B79"/>
      <c r="C79"/>
      <c r="D79"/>
      <c r="E79"/>
      <c r="F79"/>
      <c r="G79"/>
      <c r="H79"/>
      <c r="I79"/>
      <c r="J79"/>
      <c r="K79"/>
      <c r="L79"/>
      <c r="M79"/>
      <c r="N79"/>
      <c r="O79"/>
      <c r="P79"/>
      <c r="Q79"/>
      <c r="R79"/>
      <c r="S79"/>
      <c r="T79"/>
      <c r="U79"/>
      <c r="V79"/>
      <c r="W79"/>
      <c r="X79"/>
      <c r="Y79"/>
      <c r="Z79"/>
    </row>
    <row r="80" spans="1:26">
      <c r="A80"/>
      <c r="B80"/>
      <c r="C80"/>
      <c r="D80"/>
      <c r="E80"/>
      <c r="F80"/>
      <c r="G80"/>
      <c r="H80"/>
      <c r="I80"/>
      <c r="J80"/>
      <c r="K80"/>
      <c r="L80"/>
      <c r="M80"/>
      <c r="N80"/>
      <c r="O80"/>
      <c r="P80"/>
      <c r="Q80"/>
      <c r="R80"/>
      <c r="S80"/>
      <c r="T80"/>
      <c r="U80"/>
      <c r="V80"/>
      <c r="W80"/>
      <c r="X80"/>
      <c r="Y80"/>
      <c r="Z80"/>
    </row>
    <row r="81" spans="1:26">
      <c r="A81"/>
      <c r="B81"/>
      <c r="C81"/>
      <c r="D81"/>
      <c r="E81"/>
      <c r="F81"/>
      <c r="G81"/>
      <c r="H81"/>
      <c r="I81"/>
      <c r="J81"/>
      <c r="K81"/>
      <c r="L81"/>
      <c r="M81"/>
      <c r="N81"/>
      <c r="O81"/>
      <c r="P81"/>
      <c r="Q81"/>
      <c r="R81"/>
      <c r="S81"/>
      <c r="T81"/>
      <c r="U81"/>
      <c r="V81"/>
      <c r="W81"/>
      <c r="X81"/>
      <c r="Y81"/>
      <c r="Z81"/>
    </row>
    <row r="82" spans="1:26">
      <c r="A82"/>
      <c r="B82"/>
      <c r="C82"/>
      <c r="D82"/>
      <c r="E82"/>
      <c r="F82"/>
      <c r="G82"/>
      <c r="H82"/>
      <c r="I82"/>
      <c r="J82"/>
      <c r="K82"/>
      <c r="L82"/>
      <c r="M82"/>
      <c r="N82"/>
      <c r="O82"/>
      <c r="P82"/>
      <c r="Q82"/>
      <c r="R82"/>
      <c r="S82"/>
      <c r="T82"/>
      <c r="U82"/>
      <c r="V82"/>
      <c r="W82"/>
      <c r="X82"/>
      <c r="Y82"/>
      <c r="Z82"/>
    </row>
    <row r="83" spans="1:26">
      <c r="A83"/>
      <c r="B83"/>
      <c r="C83"/>
      <c r="D83"/>
      <c r="E83"/>
      <c r="F83"/>
      <c r="G83"/>
      <c r="H83"/>
      <c r="I83"/>
      <c r="J83"/>
      <c r="K83"/>
      <c r="L83"/>
      <c r="M83"/>
      <c r="N83"/>
      <c r="O83"/>
      <c r="P83"/>
      <c r="Q83"/>
      <c r="R83"/>
      <c r="S83"/>
      <c r="T83"/>
      <c r="U83"/>
      <c r="V83"/>
      <c r="W83"/>
      <c r="X83"/>
      <c r="Y83"/>
      <c r="Z83"/>
    </row>
    <row r="84" spans="1:26">
      <c r="A84"/>
      <c r="B84"/>
      <c r="C84"/>
      <c r="D84"/>
      <c r="E84"/>
      <c r="F84"/>
      <c r="G84"/>
      <c r="H84"/>
      <c r="I84"/>
      <c r="J84"/>
      <c r="K84"/>
      <c r="L84"/>
      <c r="M84"/>
      <c r="N84"/>
      <c r="O84"/>
      <c r="P84"/>
      <c r="Q84"/>
      <c r="R84"/>
      <c r="S84"/>
      <c r="T84"/>
      <c r="U84"/>
      <c r="V84"/>
      <c r="W84"/>
      <c r="X84"/>
      <c r="Y84"/>
      <c r="Z84"/>
    </row>
    <row r="85" spans="1:26">
      <c r="A85"/>
      <c r="B85"/>
      <c r="C85"/>
      <c r="D85"/>
      <c r="E85"/>
      <c r="F85"/>
      <c r="G85"/>
      <c r="H85"/>
      <c r="I85"/>
      <c r="J85"/>
      <c r="K85"/>
      <c r="L85"/>
      <c r="M85"/>
      <c r="N85"/>
      <c r="O85"/>
      <c r="P85"/>
      <c r="Q85"/>
      <c r="R85"/>
      <c r="S85"/>
      <c r="T85"/>
      <c r="U85"/>
      <c r="V85"/>
      <c r="W85"/>
      <c r="X85"/>
      <c r="Y85"/>
      <c r="Z85"/>
    </row>
    <row r="86" spans="1:26">
      <c r="A86"/>
      <c r="B86"/>
      <c r="C86"/>
      <c r="D86"/>
      <c r="E86"/>
      <c r="F86"/>
      <c r="G86"/>
      <c r="H86"/>
      <c r="I86"/>
      <c r="J86"/>
      <c r="K86"/>
      <c r="L86"/>
      <c r="M86"/>
      <c r="N86"/>
      <c r="O86"/>
      <c r="P86"/>
      <c r="Q86"/>
      <c r="R86"/>
      <c r="S86"/>
      <c r="T86"/>
      <c r="U86"/>
      <c r="V86"/>
      <c r="W86"/>
      <c r="X86"/>
      <c r="Y86"/>
      <c r="Z86"/>
    </row>
    <row r="87" spans="1:26">
      <c r="A87"/>
      <c r="B87"/>
      <c r="C87"/>
      <c r="D87"/>
      <c r="E87"/>
      <c r="F87"/>
      <c r="G87"/>
      <c r="H87"/>
      <c r="I87"/>
      <c r="J87"/>
      <c r="K87"/>
      <c r="L87"/>
      <c r="M87"/>
      <c r="N87"/>
      <c r="O87"/>
      <c r="P87"/>
      <c r="Q87"/>
      <c r="R87"/>
      <c r="S87"/>
      <c r="T87"/>
      <c r="U87"/>
      <c r="V87"/>
      <c r="W87"/>
      <c r="X87"/>
      <c r="Y87"/>
      <c r="Z87"/>
    </row>
    <row r="88" spans="1:26">
      <c r="A88"/>
      <c r="B88"/>
      <c r="C88"/>
      <c r="D88"/>
      <c r="E88"/>
      <c r="F88"/>
      <c r="G88"/>
      <c r="H88"/>
      <c r="I88"/>
      <c r="J88"/>
      <c r="K88"/>
      <c r="L88"/>
      <c r="M88"/>
      <c r="N88"/>
      <c r="O88"/>
      <c r="P88"/>
      <c r="Q88"/>
      <c r="R88"/>
      <c r="S88"/>
      <c r="T88"/>
      <c r="U88"/>
      <c r="V88"/>
      <c r="W88"/>
      <c r="X88"/>
      <c r="Y88"/>
      <c r="Z88"/>
    </row>
    <row r="89" spans="1:26">
      <c r="A89"/>
      <c r="B89"/>
      <c r="C89"/>
      <c r="D89"/>
      <c r="E89"/>
      <c r="F89"/>
      <c r="G89"/>
      <c r="H89"/>
      <c r="I89"/>
      <c r="J89"/>
      <c r="K89"/>
      <c r="L89"/>
      <c r="M89"/>
      <c r="N89"/>
      <c r="O89"/>
      <c r="P89"/>
      <c r="Q89"/>
      <c r="R89"/>
      <c r="S89"/>
      <c r="T89"/>
      <c r="U89"/>
      <c r="V89"/>
      <c r="W89"/>
      <c r="X89"/>
      <c r="Y89"/>
      <c r="Z89"/>
    </row>
    <row r="90" spans="1:26">
      <c r="A90"/>
      <c r="B90"/>
      <c r="C90"/>
      <c r="D90"/>
      <c r="E90"/>
      <c r="F90"/>
      <c r="G90"/>
      <c r="H90"/>
      <c r="I90"/>
      <c r="J90"/>
      <c r="K90"/>
      <c r="L90"/>
      <c r="M90"/>
      <c r="N90"/>
      <c r="O90"/>
      <c r="P90"/>
      <c r="Q90"/>
      <c r="R90"/>
      <c r="S90"/>
      <c r="T90"/>
      <c r="U90"/>
      <c r="V90"/>
      <c r="W90"/>
      <c r="X90"/>
      <c r="Y90"/>
      <c r="Z90"/>
    </row>
    <row r="91" spans="1:26">
      <c r="A91"/>
      <c r="B91"/>
      <c r="C91"/>
      <c r="D91"/>
      <c r="E91"/>
      <c r="F91"/>
      <c r="G91"/>
      <c r="H91"/>
      <c r="I91"/>
      <c r="J91"/>
      <c r="K91"/>
      <c r="L91"/>
      <c r="M91"/>
      <c r="N91"/>
      <c r="O91"/>
      <c r="P91"/>
      <c r="Q91"/>
      <c r="R91"/>
      <c r="S91"/>
      <c r="T91"/>
      <c r="U91"/>
      <c r="V91"/>
      <c r="W91"/>
      <c r="X91"/>
      <c r="Y91"/>
      <c r="Z91"/>
    </row>
    <row r="92" spans="1:26">
      <c r="A92"/>
      <c r="B92"/>
      <c r="C92"/>
      <c r="D92"/>
      <c r="E92"/>
      <c r="F92"/>
      <c r="G92"/>
      <c r="H92"/>
      <c r="I92"/>
      <c r="J92"/>
      <c r="K92"/>
      <c r="L92"/>
      <c r="M92"/>
      <c r="N92"/>
      <c r="O92"/>
      <c r="P92"/>
      <c r="Q92"/>
      <c r="R92"/>
      <c r="S92"/>
      <c r="T92"/>
      <c r="U92"/>
      <c r="V92"/>
      <c r="W92"/>
      <c r="X92"/>
      <c r="Y92"/>
      <c r="Z92"/>
    </row>
    <row r="93" spans="1:26">
      <c r="A93"/>
      <c r="B93"/>
      <c r="C93"/>
      <c r="D93"/>
      <c r="E93"/>
      <c r="F93"/>
      <c r="G93"/>
      <c r="H93"/>
      <c r="I93"/>
      <c r="J93"/>
      <c r="K93"/>
      <c r="L93"/>
      <c r="M93"/>
      <c r="N93"/>
      <c r="O93"/>
      <c r="P93"/>
      <c r="Q93"/>
      <c r="R93"/>
      <c r="S93"/>
      <c r="T93"/>
      <c r="U93"/>
      <c r="V93"/>
      <c r="W93"/>
      <c r="X93"/>
      <c r="Y93"/>
      <c r="Z93"/>
    </row>
    <row r="94" spans="1:26">
      <c r="A94"/>
      <c r="B94"/>
      <c r="C94"/>
      <c r="D94"/>
      <c r="E94"/>
      <c r="F94"/>
      <c r="G94"/>
      <c r="H94"/>
      <c r="I94"/>
      <c r="J94"/>
      <c r="K94"/>
      <c r="L94"/>
      <c r="M94"/>
      <c r="N94"/>
      <c r="O94"/>
      <c r="P94"/>
      <c r="Q94"/>
      <c r="R94"/>
      <c r="S94"/>
      <c r="T94"/>
      <c r="U94"/>
      <c r="V94"/>
      <c r="W94"/>
      <c r="X94"/>
      <c r="Y94"/>
      <c r="Z94"/>
    </row>
    <row r="95" spans="1:26">
      <c r="A95"/>
      <c r="B95"/>
      <c r="C95"/>
      <c r="D95"/>
      <c r="E95"/>
      <c r="F95"/>
      <c r="G95"/>
      <c r="H95"/>
      <c r="I95"/>
      <c r="J95"/>
      <c r="K95"/>
      <c r="L95"/>
      <c r="M95"/>
      <c r="N95"/>
      <c r="O95"/>
      <c r="P95"/>
      <c r="Q95"/>
      <c r="R95"/>
      <c r="S95"/>
      <c r="T95"/>
      <c r="U95"/>
      <c r="V95"/>
      <c r="W95"/>
      <c r="X95"/>
      <c r="Y95"/>
      <c r="Z95"/>
    </row>
    <row r="96" spans="1:26">
      <c r="A96"/>
      <c r="B96"/>
      <c r="C96"/>
      <c r="D96"/>
      <c r="E96"/>
      <c r="F96"/>
      <c r="G96"/>
      <c r="H96"/>
      <c r="I96"/>
      <c r="J96"/>
      <c r="K96"/>
      <c r="L96"/>
      <c r="M96"/>
      <c r="N96"/>
      <c r="O96"/>
      <c r="P96"/>
      <c r="Q96"/>
      <c r="R96"/>
      <c r="S96"/>
      <c r="T96"/>
      <c r="U96"/>
      <c r="V96"/>
      <c r="W96"/>
      <c r="X96"/>
      <c r="Y96"/>
      <c r="Z96"/>
    </row>
    <row r="97" spans="1:26">
      <c r="A97"/>
      <c r="B97"/>
      <c r="C97"/>
      <c r="D97"/>
      <c r="E97"/>
      <c r="F97"/>
      <c r="G97"/>
      <c r="H97"/>
      <c r="I97"/>
      <c r="J97"/>
      <c r="K97"/>
      <c r="L97"/>
      <c r="M97"/>
      <c r="N97"/>
      <c r="O97"/>
      <c r="P97"/>
      <c r="Q97"/>
      <c r="R97"/>
      <c r="S97"/>
      <c r="T97"/>
      <c r="U97"/>
      <c r="V97"/>
      <c r="W97"/>
      <c r="X97"/>
      <c r="Y97"/>
      <c r="Z97"/>
    </row>
    <row r="98" spans="1:26">
      <c r="A98"/>
      <c r="B98"/>
      <c r="C98"/>
      <c r="D98"/>
      <c r="E98"/>
      <c r="F98"/>
      <c r="G98"/>
      <c r="H98"/>
      <c r="I98"/>
      <c r="J98"/>
      <c r="K98"/>
      <c r="L98"/>
      <c r="M98"/>
      <c r="N98"/>
      <c r="O98"/>
      <c r="P98"/>
      <c r="Q98"/>
      <c r="R98"/>
      <c r="S98"/>
      <c r="T98"/>
      <c r="U98"/>
      <c r="V98"/>
      <c r="W98"/>
      <c r="X98"/>
      <c r="Y98"/>
      <c r="Z98"/>
    </row>
    <row r="99" spans="1:26">
      <c r="A99"/>
      <c r="B99"/>
      <c r="C99"/>
      <c r="D99"/>
      <c r="E99"/>
      <c r="F99"/>
      <c r="G99"/>
      <c r="H99"/>
      <c r="I99"/>
      <c r="J99"/>
      <c r="K99"/>
      <c r="L99"/>
      <c r="M99"/>
      <c r="N99"/>
      <c r="O99"/>
      <c r="P99"/>
      <c r="Q99"/>
      <c r="R99"/>
      <c r="S99"/>
      <c r="T99"/>
      <c r="U99"/>
      <c r="V99"/>
      <c r="W99"/>
      <c r="X99"/>
      <c r="Y99"/>
      <c r="Z99"/>
    </row>
    <row r="100" spans="1:26">
      <c r="A100"/>
      <c r="B100"/>
      <c r="C100"/>
      <c r="D100"/>
      <c r="E100"/>
      <c r="F100"/>
      <c r="G100"/>
      <c r="H100"/>
      <c r="I100"/>
      <c r="J100"/>
      <c r="K100"/>
      <c r="L100"/>
      <c r="M100"/>
      <c r="N100"/>
      <c r="O100"/>
      <c r="P100"/>
      <c r="Q100"/>
      <c r="R100"/>
      <c r="S100"/>
      <c r="T100"/>
      <c r="U100"/>
      <c r="V100"/>
      <c r="W100"/>
      <c r="X100"/>
      <c r="Y100"/>
      <c r="Z100"/>
    </row>
    <row r="101" spans="1:26">
      <c r="A101"/>
      <c r="B101"/>
      <c r="C101"/>
      <c r="D101"/>
      <c r="E101"/>
      <c r="F101"/>
      <c r="G101"/>
      <c r="H101"/>
      <c r="I101"/>
      <c r="J101"/>
      <c r="K101"/>
      <c r="L101"/>
      <c r="M101"/>
      <c r="N101"/>
      <c r="O101"/>
      <c r="P101"/>
      <c r="Q101"/>
      <c r="R101"/>
      <c r="S101"/>
      <c r="T101"/>
      <c r="U101"/>
      <c r="V101"/>
      <c r="W101"/>
      <c r="X101"/>
      <c r="Y101"/>
      <c r="Z101"/>
    </row>
    <row r="102" spans="1:26">
      <c r="A102"/>
      <c r="B102"/>
      <c r="C102"/>
      <c r="D102"/>
      <c r="E102"/>
      <c r="F102"/>
      <c r="G102"/>
      <c r="H102"/>
      <c r="I102"/>
      <c r="J102"/>
      <c r="K102"/>
      <c r="L102"/>
      <c r="M102"/>
      <c r="N102"/>
      <c r="O102"/>
      <c r="P102"/>
      <c r="Q102"/>
      <c r="R102"/>
      <c r="S102"/>
      <c r="T102"/>
      <c r="U102"/>
      <c r="V102"/>
      <c r="W102"/>
      <c r="X102"/>
      <c r="Y102"/>
      <c r="Z102"/>
    </row>
    <row r="103" spans="1:26">
      <c r="A103"/>
      <c r="B103"/>
      <c r="C103"/>
      <c r="D103"/>
      <c r="E103"/>
      <c r="F103"/>
      <c r="G103"/>
      <c r="H103"/>
      <c r="I103"/>
      <c r="J103"/>
      <c r="K103"/>
      <c r="L103"/>
      <c r="M103"/>
      <c r="N103"/>
      <c r="O103"/>
      <c r="P103"/>
      <c r="Q103"/>
      <c r="R103"/>
      <c r="S103"/>
      <c r="T103"/>
      <c r="U103"/>
      <c r="V103"/>
      <c r="W103"/>
      <c r="X103"/>
      <c r="Y103"/>
      <c r="Z103"/>
    </row>
    <row r="104" spans="1:26">
      <c r="A104"/>
      <c r="B104"/>
      <c r="C104"/>
      <c r="D104"/>
      <c r="E104"/>
      <c r="F104"/>
      <c r="G104"/>
      <c r="H104"/>
      <c r="I104"/>
      <c r="J104"/>
      <c r="K104"/>
      <c r="L104"/>
      <c r="M104"/>
      <c r="N104"/>
      <c r="O104"/>
      <c r="P104"/>
      <c r="Q104"/>
      <c r="R104"/>
      <c r="S104"/>
      <c r="T104"/>
      <c r="U104"/>
      <c r="V104"/>
      <c r="W104"/>
      <c r="X104"/>
      <c r="Y104"/>
      <c r="Z104"/>
    </row>
    <row r="105" spans="1:26">
      <c r="A105"/>
      <c r="B105"/>
      <c r="C105"/>
      <c r="D105"/>
      <c r="E105"/>
      <c r="F105"/>
      <c r="G105"/>
      <c r="H105"/>
      <c r="I105"/>
      <c r="J105"/>
      <c r="K105"/>
      <c r="L105"/>
      <c r="M105"/>
      <c r="N105"/>
      <c r="O105"/>
      <c r="P105"/>
      <c r="Q105"/>
      <c r="R105"/>
      <c r="S105"/>
      <c r="T105"/>
      <c r="U105"/>
      <c r="V105"/>
      <c r="W105"/>
      <c r="X105"/>
      <c r="Y105"/>
      <c r="Z105"/>
    </row>
    <row r="106" spans="1:26">
      <c r="A106"/>
      <c r="B106"/>
      <c r="C106"/>
      <c r="D106"/>
      <c r="E106"/>
      <c r="F106"/>
      <c r="G106"/>
      <c r="H106"/>
      <c r="I106"/>
      <c r="J106"/>
      <c r="K106"/>
      <c r="L106"/>
      <c r="M106"/>
      <c r="N106"/>
      <c r="O106"/>
      <c r="P106"/>
      <c r="Q106"/>
      <c r="R106"/>
      <c r="S106"/>
      <c r="T106"/>
      <c r="U106"/>
      <c r="V106"/>
      <c r="W106"/>
      <c r="X106"/>
      <c r="Y106"/>
      <c r="Z106"/>
    </row>
    <row r="107" spans="1:26">
      <c r="A107"/>
      <c r="B107"/>
      <c r="C107"/>
      <c r="D107"/>
      <c r="E107"/>
      <c r="F107"/>
      <c r="G107"/>
      <c r="H107"/>
      <c r="I107"/>
      <c r="J107"/>
      <c r="K107"/>
      <c r="L107"/>
      <c r="M107"/>
      <c r="N107"/>
      <c r="O107"/>
      <c r="P107"/>
      <c r="Q107"/>
      <c r="R107"/>
      <c r="S107"/>
      <c r="T107"/>
      <c r="U107"/>
      <c r="V107"/>
      <c r="W107"/>
      <c r="X107"/>
      <c r="Y107"/>
      <c r="Z107"/>
    </row>
    <row r="108" spans="1:26">
      <c r="A108"/>
      <c r="B108"/>
      <c r="C108"/>
      <c r="D108"/>
      <c r="E108"/>
      <c r="F108"/>
      <c r="G108"/>
      <c r="H108"/>
      <c r="I108"/>
      <c r="J108"/>
      <c r="K108"/>
      <c r="L108"/>
      <c r="M108"/>
      <c r="N108"/>
      <c r="O108"/>
      <c r="P108"/>
      <c r="Q108"/>
      <c r="R108"/>
      <c r="S108"/>
      <c r="T108"/>
      <c r="U108"/>
      <c r="V108"/>
      <c r="W108"/>
      <c r="X108"/>
      <c r="Y108"/>
      <c r="Z108"/>
    </row>
    <row r="109" spans="1:26">
      <c r="A109"/>
      <c r="B109"/>
      <c r="C109"/>
      <c r="D109"/>
      <c r="E109"/>
      <c r="F109"/>
      <c r="G109"/>
      <c r="H109"/>
      <c r="I109"/>
      <c r="J109"/>
      <c r="K109"/>
      <c r="L109"/>
      <c r="M109"/>
      <c r="N109"/>
      <c r="O109"/>
      <c r="P109"/>
      <c r="Q109"/>
      <c r="R109"/>
      <c r="S109"/>
      <c r="T109"/>
      <c r="U109"/>
      <c r="V109"/>
      <c r="W109"/>
      <c r="X109"/>
      <c r="Y109"/>
      <c r="Z109"/>
    </row>
    <row r="110" spans="1:26">
      <c r="A110"/>
      <c r="B110"/>
      <c r="C110"/>
      <c r="D110"/>
      <c r="E110"/>
      <c r="F110"/>
      <c r="G110"/>
      <c r="H110"/>
      <c r="I110"/>
      <c r="J110"/>
      <c r="K110"/>
      <c r="L110"/>
      <c r="M110"/>
      <c r="N110"/>
      <c r="O110"/>
      <c r="P110"/>
      <c r="Q110"/>
      <c r="R110"/>
      <c r="S110"/>
      <c r="T110"/>
      <c r="U110"/>
      <c r="V110"/>
      <c r="W110"/>
      <c r="X110"/>
      <c r="Y110"/>
      <c r="Z110"/>
    </row>
    <row r="111" spans="1:26">
      <c r="A111"/>
      <c r="B111"/>
      <c r="C111"/>
      <c r="D111"/>
      <c r="E111"/>
      <c r="F111"/>
      <c r="G111"/>
      <c r="H111"/>
      <c r="I111"/>
      <c r="J111"/>
      <c r="K111"/>
      <c r="L111"/>
      <c r="M111"/>
      <c r="N111"/>
      <c r="O111"/>
      <c r="P111"/>
      <c r="Q111"/>
      <c r="R111"/>
      <c r="S111"/>
      <c r="T111"/>
      <c r="U111"/>
      <c r="V111"/>
      <c r="W111"/>
      <c r="X111"/>
      <c r="Y111"/>
      <c r="Z111"/>
    </row>
    <row r="112" spans="1:26">
      <c r="A112"/>
      <c r="B112"/>
      <c r="C112"/>
      <c r="D112"/>
      <c r="E112"/>
      <c r="F112"/>
      <c r="G112"/>
      <c r="H112"/>
      <c r="I112"/>
      <c r="J112"/>
      <c r="K112"/>
      <c r="L112"/>
      <c r="M112"/>
      <c r="N112"/>
      <c r="O112"/>
      <c r="P112"/>
      <c r="Q112"/>
      <c r="R112"/>
      <c r="S112"/>
      <c r="T112"/>
      <c r="U112"/>
      <c r="V112"/>
      <c r="W112"/>
      <c r="X112"/>
      <c r="Y112"/>
      <c r="Z112"/>
    </row>
    <row r="113" spans="1:26">
      <c r="A113"/>
      <c r="B113"/>
      <c r="C113"/>
      <c r="D113"/>
      <c r="E113"/>
      <c r="F113"/>
      <c r="G113"/>
      <c r="H113"/>
      <c r="I113"/>
      <c r="J113"/>
      <c r="K113"/>
      <c r="L113"/>
      <c r="M113"/>
      <c r="N113"/>
      <c r="O113"/>
      <c r="P113"/>
      <c r="Q113"/>
      <c r="R113"/>
      <c r="S113"/>
      <c r="T113"/>
      <c r="U113"/>
      <c r="V113"/>
      <c r="W113"/>
      <c r="X113"/>
      <c r="Y113"/>
      <c r="Z113"/>
    </row>
    <row r="114" spans="1:26">
      <c r="A114"/>
      <c r="B114"/>
      <c r="C114"/>
      <c r="D114"/>
      <c r="E114"/>
      <c r="F114"/>
      <c r="G114"/>
      <c r="H114"/>
      <c r="I114"/>
      <c r="J114"/>
      <c r="K114"/>
      <c r="L114"/>
      <c r="M114"/>
      <c r="N114"/>
      <c r="O114"/>
      <c r="P114"/>
      <c r="Q114"/>
      <c r="R114"/>
      <c r="S114"/>
      <c r="T114"/>
      <c r="U114"/>
      <c r="V114"/>
      <c r="W114"/>
      <c r="X114"/>
      <c r="Y114"/>
      <c r="Z114"/>
    </row>
    <row r="115" spans="1:26">
      <c r="A115"/>
      <c r="B115"/>
      <c r="C115"/>
      <c r="D115"/>
      <c r="E115"/>
      <c r="F115"/>
      <c r="G115"/>
      <c r="H115"/>
      <c r="I115"/>
      <c r="J115"/>
      <c r="K115"/>
      <c r="L115"/>
      <c r="M115"/>
      <c r="N115"/>
      <c r="O115"/>
      <c r="P115"/>
      <c r="Q115"/>
      <c r="R115"/>
      <c r="S115"/>
      <c r="T115"/>
      <c r="U115"/>
      <c r="V115"/>
      <c r="W115"/>
      <c r="X115"/>
      <c r="Y115"/>
      <c r="Z115"/>
    </row>
    <row r="116" spans="1:26">
      <c r="A116"/>
      <c r="B116"/>
      <c r="C116"/>
      <c r="D116"/>
      <c r="E116"/>
      <c r="F116"/>
      <c r="G116"/>
      <c r="H116"/>
      <c r="I116"/>
      <c r="J116"/>
      <c r="K116"/>
      <c r="L116"/>
      <c r="M116"/>
      <c r="N116"/>
      <c r="O116"/>
      <c r="P116"/>
      <c r="Q116"/>
      <c r="R116"/>
      <c r="S116"/>
      <c r="T116"/>
      <c r="U116"/>
      <c r="V116"/>
      <c r="W116"/>
      <c r="X116"/>
      <c r="Y116"/>
      <c r="Z116"/>
    </row>
    <row r="117" spans="1:26">
      <c r="A117"/>
      <c r="B117"/>
      <c r="C117"/>
      <c r="D117"/>
      <c r="E117"/>
      <c r="F117"/>
      <c r="G117"/>
      <c r="H117"/>
      <c r="I117"/>
      <c r="J117"/>
      <c r="K117"/>
      <c r="L117"/>
      <c r="M117"/>
      <c r="N117"/>
      <c r="O117"/>
      <c r="P117"/>
      <c r="Q117"/>
      <c r="R117"/>
      <c r="S117"/>
      <c r="T117"/>
      <c r="U117"/>
      <c r="V117"/>
      <c r="W117"/>
      <c r="X117"/>
      <c r="Y117"/>
      <c r="Z117"/>
    </row>
    <row r="118" spans="1:26">
      <c r="A118"/>
      <c r="B118"/>
      <c r="C118"/>
      <c r="D118"/>
      <c r="E118"/>
      <c r="F118"/>
      <c r="G118"/>
      <c r="H118"/>
      <c r="I118"/>
      <c r="J118"/>
      <c r="K118"/>
      <c r="L118"/>
      <c r="M118"/>
      <c r="N118"/>
      <c r="O118"/>
      <c r="P118"/>
      <c r="Q118"/>
      <c r="R118"/>
      <c r="S118"/>
      <c r="T118"/>
      <c r="U118"/>
      <c r="V118"/>
      <c r="W118"/>
      <c r="X118"/>
      <c r="Y118"/>
      <c r="Z118"/>
    </row>
    <row r="119" spans="1:26">
      <c r="A119"/>
      <c r="B119"/>
      <c r="C119"/>
      <c r="D119"/>
      <c r="E119"/>
      <c r="F119"/>
      <c r="G119"/>
      <c r="H119"/>
      <c r="I119"/>
      <c r="J119"/>
      <c r="K119"/>
      <c r="L119"/>
      <c r="M119"/>
      <c r="N119"/>
      <c r="O119"/>
      <c r="P119"/>
      <c r="Q119"/>
      <c r="R119"/>
      <c r="S119"/>
      <c r="T119"/>
      <c r="U119"/>
      <c r="V119"/>
      <c r="W119"/>
      <c r="X119"/>
      <c r="Y119"/>
      <c r="Z119"/>
    </row>
    <row r="120" spans="1:26">
      <c r="A120"/>
      <c r="B120"/>
      <c r="C120"/>
      <c r="D120"/>
      <c r="E120"/>
      <c r="F120"/>
      <c r="G120"/>
      <c r="H120"/>
      <c r="I120"/>
      <c r="J120"/>
      <c r="K120"/>
      <c r="L120"/>
      <c r="M120"/>
      <c r="N120"/>
      <c r="O120"/>
      <c r="P120"/>
      <c r="Q120"/>
      <c r="R120"/>
      <c r="S120"/>
      <c r="T120"/>
      <c r="U120"/>
      <c r="V120"/>
      <c r="W120"/>
      <c r="X120"/>
      <c r="Y120"/>
      <c r="Z120"/>
    </row>
    <row r="121" spans="1:26">
      <c r="A121"/>
      <c r="B121"/>
      <c r="C121"/>
      <c r="D121"/>
      <c r="E121"/>
      <c r="F121"/>
      <c r="G121"/>
      <c r="H121"/>
      <c r="I121"/>
      <c r="J121"/>
      <c r="K121"/>
      <c r="L121"/>
      <c r="M121"/>
      <c r="N121"/>
      <c r="O121"/>
      <c r="P121"/>
      <c r="Q121"/>
      <c r="R121"/>
      <c r="S121"/>
      <c r="T121"/>
      <c r="U121"/>
      <c r="V121"/>
      <c r="W121"/>
      <c r="X121"/>
      <c r="Y121"/>
      <c r="Z121"/>
    </row>
    <row r="122" spans="1:26">
      <c r="A122"/>
      <c r="B122"/>
      <c r="C122"/>
      <c r="D122"/>
      <c r="E122"/>
      <c r="F122"/>
      <c r="G122"/>
      <c r="H122"/>
      <c r="I122"/>
      <c r="J122"/>
      <c r="K122"/>
      <c r="L122"/>
      <c r="M122"/>
      <c r="N122"/>
      <c r="O122"/>
      <c r="P122"/>
      <c r="Q122"/>
      <c r="R122"/>
      <c r="S122"/>
      <c r="T122"/>
      <c r="U122"/>
      <c r="V122"/>
      <c r="W122"/>
      <c r="X122"/>
      <c r="Y122"/>
      <c r="Z122"/>
    </row>
    <row r="123" spans="1:26">
      <c r="A123"/>
      <c r="B123"/>
      <c r="C123"/>
      <c r="D123"/>
      <c r="E123"/>
      <c r="F123"/>
      <c r="G123"/>
      <c r="H123"/>
      <c r="I123"/>
      <c r="J123"/>
      <c r="K123"/>
      <c r="L123"/>
      <c r="M123"/>
      <c r="N123"/>
      <c r="O123"/>
      <c r="P123"/>
      <c r="Q123"/>
      <c r="R123"/>
      <c r="S123"/>
      <c r="T123"/>
      <c r="U123"/>
      <c r="V123"/>
      <c r="W123"/>
      <c r="X123"/>
      <c r="Y123"/>
      <c r="Z123"/>
    </row>
    <row r="124" spans="1:26">
      <c r="A124"/>
      <c r="B124"/>
      <c r="C124"/>
      <c r="D124"/>
      <c r="E124"/>
      <c r="F124"/>
      <c r="G124"/>
      <c r="H124"/>
      <c r="I124"/>
      <c r="J124"/>
      <c r="K124"/>
      <c r="L124"/>
      <c r="M124"/>
      <c r="N124"/>
      <c r="O124"/>
      <c r="P124"/>
      <c r="Q124"/>
      <c r="R124"/>
      <c r="S124"/>
      <c r="T124"/>
      <c r="U124"/>
      <c r="V124"/>
      <c r="W124"/>
      <c r="X124"/>
      <c r="Y124"/>
      <c r="Z124"/>
    </row>
    <row r="125" spans="1:26">
      <c r="A125"/>
      <c r="B125"/>
      <c r="C125"/>
      <c r="D125"/>
      <c r="E125"/>
      <c r="F125"/>
      <c r="G125"/>
      <c r="H125"/>
      <c r="I125"/>
      <c r="J125"/>
      <c r="K125"/>
      <c r="L125"/>
      <c r="M125"/>
      <c r="N125"/>
      <c r="O125"/>
      <c r="P125"/>
      <c r="Q125"/>
      <c r="R125"/>
      <c r="S125"/>
      <c r="T125"/>
      <c r="U125"/>
      <c r="V125"/>
      <c r="W125"/>
      <c r="X125"/>
      <c r="Y125"/>
      <c r="Z125"/>
    </row>
    <row r="126" spans="1:26">
      <c r="A126"/>
      <c r="B126"/>
      <c r="C126"/>
      <c r="D126"/>
      <c r="E126"/>
      <c r="F126"/>
      <c r="G126"/>
      <c r="H126"/>
      <c r="I126"/>
      <c r="J126"/>
      <c r="K126"/>
      <c r="L126"/>
      <c r="M126"/>
      <c r="N126"/>
      <c r="O126"/>
      <c r="P126"/>
      <c r="Q126"/>
      <c r="R126"/>
      <c r="S126"/>
      <c r="T126"/>
      <c r="U126"/>
      <c r="V126"/>
      <c r="W126"/>
      <c r="X126"/>
      <c r="Y126"/>
      <c r="Z126"/>
    </row>
    <row r="127" spans="1:26">
      <c r="A127"/>
      <c r="B127"/>
      <c r="C127"/>
      <c r="D127"/>
      <c r="E127"/>
      <c r="F127"/>
      <c r="G127"/>
      <c r="H127"/>
      <c r="I127"/>
      <c r="J127"/>
      <c r="K127"/>
      <c r="L127"/>
      <c r="M127"/>
      <c r="N127"/>
      <c r="O127"/>
      <c r="P127"/>
      <c r="Q127"/>
      <c r="R127"/>
      <c r="S127"/>
      <c r="T127"/>
      <c r="U127"/>
      <c r="V127"/>
      <c r="W127"/>
      <c r="X127"/>
      <c r="Y127"/>
      <c r="Z127"/>
    </row>
    <row r="128" spans="1:26">
      <c r="A128"/>
      <c r="B128"/>
      <c r="C128"/>
      <c r="D128"/>
      <c r="E128"/>
      <c r="F128"/>
      <c r="G128"/>
      <c r="H128"/>
      <c r="I128"/>
      <c r="J128"/>
      <c r="K128"/>
      <c r="L128"/>
      <c r="M128"/>
      <c r="N128"/>
      <c r="O128"/>
      <c r="P128"/>
      <c r="Q128"/>
      <c r="R128"/>
      <c r="S128"/>
      <c r="T128"/>
      <c r="U128"/>
      <c r="V128"/>
      <c r="W128"/>
      <c r="X128"/>
      <c r="Y128"/>
      <c r="Z128"/>
    </row>
    <row r="129" spans="1:26">
      <c r="A129"/>
      <c r="B129"/>
      <c r="C129"/>
      <c r="D129"/>
      <c r="E129"/>
      <c r="F129"/>
      <c r="G129"/>
      <c r="H129"/>
      <c r="I129"/>
      <c r="J129"/>
      <c r="K129"/>
      <c r="L129"/>
      <c r="M129"/>
      <c r="N129"/>
      <c r="O129"/>
      <c r="P129"/>
      <c r="Q129"/>
      <c r="R129"/>
      <c r="S129"/>
      <c r="T129"/>
      <c r="U129"/>
      <c r="V129"/>
      <c r="W129"/>
      <c r="X129"/>
      <c r="Y129"/>
      <c r="Z129"/>
    </row>
    <row r="130" spans="1:26">
      <c r="A130"/>
      <c r="B130"/>
      <c r="C130"/>
      <c r="D130"/>
      <c r="E130"/>
      <c r="F130"/>
      <c r="G130"/>
      <c r="H130"/>
      <c r="I130"/>
      <c r="J130"/>
      <c r="K130"/>
      <c r="L130"/>
      <c r="M130"/>
      <c r="N130"/>
      <c r="O130"/>
      <c r="P130"/>
      <c r="Q130"/>
      <c r="R130"/>
      <c r="S130"/>
      <c r="T130"/>
      <c r="U130"/>
      <c r="V130"/>
      <c r="W130"/>
      <c r="X130"/>
      <c r="Y130"/>
      <c r="Z130"/>
    </row>
    <row r="131" spans="1:26">
      <c r="A131"/>
      <c r="B131"/>
      <c r="C131"/>
      <c r="D131"/>
      <c r="E131"/>
      <c r="F131"/>
      <c r="G131"/>
      <c r="H131"/>
      <c r="I131"/>
      <c r="J131"/>
      <c r="K131"/>
      <c r="L131"/>
      <c r="M131"/>
      <c r="N131"/>
      <c r="O131"/>
      <c r="P131"/>
      <c r="Q131"/>
      <c r="R131"/>
      <c r="S131"/>
      <c r="T131"/>
      <c r="U131"/>
      <c r="V131"/>
      <c r="W131"/>
      <c r="X131"/>
      <c r="Y131"/>
      <c r="Z131"/>
    </row>
    <row r="132" spans="1:26">
      <c r="A132"/>
      <c r="B132"/>
      <c r="C132"/>
      <c r="D132"/>
      <c r="E132"/>
      <c r="F132"/>
      <c r="G132"/>
      <c r="H132"/>
      <c r="I132"/>
      <c r="J132"/>
      <c r="K132"/>
      <c r="L132"/>
      <c r="M132"/>
      <c r="N132"/>
      <c r="O132"/>
      <c r="P132"/>
      <c r="Q132"/>
      <c r="R132"/>
      <c r="S132"/>
      <c r="T132"/>
      <c r="U132"/>
      <c r="V132"/>
      <c r="W132"/>
      <c r="X132"/>
      <c r="Y132"/>
      <c r="Z132"/>
    </row>
    <row r="133" spans="1:26">
      <c r="A133"/>
      <c r="B133"/>
      <c r="C133"/>
      <c r="D133"/>
      <c r="E133"/>
      <c r="F133"/>
      <c r="G133"/>
      <c r="H133"/>
      <c r="I133"/>
      <c r="J133"/>
      <c r="K133"/>
      <c r="L133"/>
      <c r="M133"/>
      <c r="N133"/>
      <c r="O133"/>
      <c r="P133"/>
      <c r="Q133"/>
      <c r="R133"/>
      <c r="S133"/>
      <c r="T133"/>
      <c r="U133"/>
      <c r="V133"/>
      <c r="W133"/>
      <c r="X133"/>
      <c r="Y133"/>
      <c r="Z133"/>
    </row>
    <row r="134" spans="1:26">
      <c r="A134"/>
      <c r="B134"/>
      <c r="C134"/>
      <c r="D134"/>
      <c r="E134"/>
      <c r="F134"/>
      <c r="G134"/>
      <c r="H134"/>
      <c r="I134"/>
      <c r="J134"/>
      <c r="K134"/>
      <c r="L134"/>
      <c r="M134"/>
      <c r="N134"/>
      <c r="O134"/>
      <c r="P134"/>
      <c r="Q134"/>
      <c r="R134"/>
      <c r="S134"/>
      <c r="T134"/>
      <c r="U134"/>
      <c r="V134"/>
      <c r="W134"/>
      <c r="X134"/>
      <c r="Y134"/>
      <c r="Z134"/>
    </row>
    <row r="135" spans="1:26">
      <c r="A135"/>
      <c r="B135"/>
      <c r="C135"/>
      <c r="D135"/>
      <c r="E135"/>
      <c r="F135"/>
      <c r="G135"/>
      <c r="H135"/>
      <c r="I135"/>
      <c r="J135"/>
      <c r="K135"/>
      <c r="L135"/>
      <c r="M135"/>
      <c r="N135"/>
      <c r="O135"/>
      <c r="P135"/>
      <c r="Q135"/>
      <c r="R135"/>
      <c r="S135"/>
      <c r="T135"/>
      <c r="U135"/>
      <c r="V135"/>
      <c r="W135"/>
      <c r="X135"/>
      <c r="Y135"/>
      <c r="Z135"/>
    </row>
    <row r="136" spans="1:26">
      <c r="A136"/>
      <c r="B136"/>
      <c r="C136"/>
      <c r="D136"/>
      <c r="E136"/>
      <c r="F136"/>
      <c r="G136"/>
      <c r="H136"/>
      <c r="I136"/>
      <c r="J136"/>
      <c r="K136"/>
      <c r="L136"/>
      <c r="M136"/>
      <c r="N136"/>
      <c r="O136"/>
      <c r="P136"/>
      <c r="Q136"/>
      <c r="R136"/>
      <c r="S136"/>
      <c r="T136"/>
      <c r="U136"/>
      <c r="V136"/>
      <c r="W136"/>
      <c r="X136"/>
      <c r="Y136"/>
      <c r="Z136"/>
    </row>
    <row r="137" spans="1:26">
      <c r="A137"/>
      <c r="B137"/>
      <c r="C137"/>
      <c r="D137"/>
      <c r="E137"/>
      <c r="F137"/>
      <c r="G137"/>
      <c r="H137"/>
      <c r="I137"/>
      <c r="J137"/>
      <c r="K137"/>
      <c r="L137"/>
      <c r="M137"/>
      <c r="N137"/>
      <c r="O137"/>
      <c r="P137"/>
      <c r="Q137"/>
      <c r="R137"/>
      <c r="S137"/>
      <c r="T137"/>
      <c r="U137"/>
      <c r="V137"/>
      <c r="W137"/>
      <c r="X137"/>
      <c r="Y137"/>
      <c r="Z137"/>
    </row>
    <row r="138" spans="1:26">
      <c r="A138"/>
      <c r="B138"/>
      <c r="C138"/>
      <c r="D138"/>
      <c r="E138"/>
      <c r="F138"/>
      <c r="G138"/>
      <c r="H138"/>
      <c r="I138"/>
      <c r="J138"/>
      <c r="K138"/>
      <c r="L138"/>
      <c r="M138"/>
      <c r="N138"/>
      <c r="O138"/>
      <c r="P138"/>
      <c r="Q138"/>
      <c r="R138"/>
      <c r="S138"/>
      <c r="T138"/>
      <c r="U138"/>
      <c r="V138"/>
      <c r="W138"/>
      <c r="X138"/>
      <c r="Y138"/>
      <c r="Z138"/>
    </row>
    <row r="139" spans="1:26">
      <c r="A139"/>
      <c r="B139"/>
      <c r="C139"/>
      <c r="D139"/>
      <c r="E139"/>
      <c r="F139"/>
      <c r="G139"/>
      <c r="H139"/>
      <c r="I139"/>
      <c r="J139"/>
      <c r="K139"/>
      <c r="L139"/>
      <c r="M139"/>
      <c r="N139"/>
      <c r="O139"/>
      <c r="P139"/>
      <c r="Q139"/>
      <c r="R139"/>
      <c r="S139"/>
      <c r="T139"/>
      <c r="U139"/>
      <c r="V139"/>
      <c r="W139"/>
      <c r="X139"/>
      <c r="Y139"/>
      <c r="Z139"/>
    </row>
    <row r="140" spans="1:26">
      <c r="A140"/>
      <c r="B140"/>
      <c r="C140"/>
      <c r="D140"/>
      <c r="E140"/>
      <c r="F140"/>
      <c r="G140"/>
      <c r="H140"/>
      <c r="I140"/>
      <c r="J140"/>
      <c r="K140"/>
      <c r="L140"/>
      <c r="M140"/>
      <c r="N140"/>
      <c r="O140"/>
      <c r="P140"/>
      <c r="Q140"/>
      <c r="R140"/>
      <c r="S140"/>
      <c r="T140"/>
      <c r="U140"/>
      <c r="V140"/>
      <c r="W140"/>
      <c r="X140"/>
      <c r="Y140"/>
      <c r="Z140"/>
    </row>
    <row r="141" spans="1:26">
      <c r="A141"/>
      <c r="B141"/>
      <c r="C141"/>
      <c r="D141"/>
      <c r="E141"/>
      <c r="F141"/>
      <c r="G141"/>
      <c r="H141"/>
      <c r="I141"/>
      <c r="J141"/>
      <c r="K141"/>
      <c r="L141"/>
      <c r="M141"/>
      <c r="N141"/>
      <c r="O141"/>
      <c r="P141"/>
      <c r="Q141"/>
      <c r="R141"/>
      <c r="S141"/>
      <c r="T141"/>
      <c r="U141"/>
      <c r="V141"/>
      <c r="W141"/>
      <c r="X141"/>
      <c r="Y141"/>
      <c r="Z141"/>
    </row>
    <row r="142" spans="1:26">
      <c r="A142"/>
      <c r="B142"/>
      <c r="C142"/>
      <c r="D142"/>
      <c r="E142"/>
      <c r="F142"/>
      <c r="G142"/>
      <c r="H142"/>
      <c r="I142"/>
      <c r="J142"/>
      <c r="K142"/>
      <c r="L142"/>
      <c r="M142"/>
      <c r="N142"/>
      <c r="O142"/>
      <c r="P142"/>
      <c r="Q142"/>
      <c r="R142"/>
      <c r="S142"/>
      <c r="T142"/>
      <c r="U142"/>
      <c r="V142"/>
      <c r="W142"/>
      <c r="X142"/>
      <c r="Y142"/>
      <c r="Z142"/>
    </row>
    <row r="143" spans="1:26">
      <c r="A143"/>
      <c r="B143"/>
      <c r="C143"/>
      <c r="D143"/>
      <c r="E143"/>
      <c r="F143"/>
      <c r="G143"/>
      <c r="H143"/>
      <c r="I143"/>
      <c r="J143"/>
      <c r="K143"/>
      <c r="L143"/>
      <c r="M143"/>
      <c r="N143"/>
      <c r="O143"/>
      <c r="P143"/>
      <c r="Q143"/>
      <c r="R143"/>
      <c r="S143"/>
      <c r="T143"/>
      <c r="U143"/>
      <c r="V143"/>
      <c r="W143"/>
      <c r="X143"/>
      <c r="Y143"/>
      <c r="Z143"/>
    </row>
    <row r="144" spans="1:26">
      <c r="A144"/>
      <c r="B144"/>
      <c r="C144"/>
      <c r="D144"/>
      <c r="E144"/>
      <c r="F144"/>
      <c r="G144"/>
      <c r="H144"/>
      <c r="I144"/>
      <c r="J144"/>
      <c r="K144"/>
      <c r="L144"/>
      <c r="M144"/>
      <c r="N144"/>
      <c r="O144"/>
      <c r="P144"/>
      <c r="Q144"/>
      <c r="R144"/>
      <c r="S144"/>
      <c r="T144"/>
      <c r="U144"/>
      <c r="V144"/>
      <c r="W144"/>
      <c r="X144"/>
      <c r="Y144"/>
      <c r="Z144"/>
    </row>
    <row r="145" spans="1:26">
      <c r="A145"/>
      <c r="B145"/>
      <c r="C145"/>
      <c r="D145"/>
      <c r="E145"/>
      <c r="F145"/>
      <c r="G145"/>
      <c r="H145"/>
      <c r="I145"/>
      <c r="J145"/>
      <c r="K145"/>
      <c r="L145"/>
      <c r="M145"/>
      <c r="N145"/>
      <c r="O145"/>
      <c r="P145"/>
      <c r="Q145"/>
      <c r="R145"/>
      <c r="S145"/>
      <c r="T145"/>
      <c r="U145"/>
      <c r="V145"/>
      <c r="W145"/>
      <c r="X145"/>
      <c r="Y145"/>
      <c r="Z145"/>
    </row>
    <row r="146" spans="1:26">
      <c r="A146"/>
      <c r="B146"/>
      <c r="C146"/>
      <c r="D146"/>
      <c r="E146"/>
      <c r="F146"/>
      <c r="G146"/>
      <c r="H146"/>
      <c r="I146"/>
      <c r="J146"/>
      <c r="K146"/>
      <c r="L146"/>
      <c r="M146"/>
      <c r="N146"/>
      <c r="O146"/>
      <c r="P146"/>
      <c r="Q146"/>
      <c r="R146"/>
      <c r="S146"/>
      <c r="T146"/>
      <c r="U146"/>
      <c r="V146"/>
      <c r="W146"/>
      <c r="X146"/>
      <c r="Y146"/>
      <c r="Z146"/>
    </row>
    <row r="147" spans="1:26">
      <c r="A147"/>
      <c r="B147"/>
      <c r="C147"/>
      <c r="D147"/>
      <c r="E147"/>
      <c r="F147"/>
      <c r="G147"/>
      <c r="H147"/>
      <c r="I147"/>
      <c r="J147"/>
      <c r="K147"/>
      <c r="L147"/>
      <c r="M147"/>
      <c r="N147"/>
      <c r="O147"/>
      <c r="P147"/>
      <c r="Q147"/>
      <c r="R147"/>
      <c r="S147"/>
      <c r="T147"/>
      <c r="U147"/>
      <c r="V147"/>
      <c r="W147"/>
      <c r="X147"/>
      <c r="Y147"/>
      <c r="Z147"/>
    </row>
    <row r="148" spans="1:26">
      <c r="A148"/>
      <c r="B148"/>
      <c r="C148"/>
      <c r="D148"/>
      <c r="E148"/>
      <c r="F148"/>
      <c r="G148"/>
      <c r="H148"/>
      <c r="I148"/>
      <c r="J148"/>
      <c r="K148"/>
      <c r="L148"/>
      <c r="M148"/>
      <c r="N148"/>
      <c r="O148"/>
      <c r="P148"/>
      <c r="Q148"/>
      <c r="R148"/>
      <c r="S148"/>
      <c r="T148"/>
      <c r="U148"/>
      <c r="V148"/>
      <c r="W148"/>
      <c r="X148"/>
      <c r="Y148"/>
      <c r="Z148"/>
    </row>
    <row r="149" spans="1:26">
      <c r="A149"/>
      <c r="B149"/>
      <c r="C149"/>
      <c r="D149"/>
      <c r="E149"/>
      <c r="F149"/>
      <c r="G149"/>
      <c r="H149"/>
      <c r="I149"/>
      <c r="J149"/>
      <c r="K149"/>
      <c r="L149"/>
      <c r="M149"/>
      <c r="N149"/>
      <c r="O149"/>
      <c r="P149"/>
      <c r="Q149"/>
      <c r="R149"/>
      <c r="S149"/>
      <c r="T149"/>
      <c r="U149"/>
      <c r="V149"/>
      <c r="W149"/>
      <c r="X149"/>
      <c r="Y149"/>
      <c r="Z149"/>
    </row>
    <row r="150" spans="1:26">
      <c r="A150"/>
      <c r="B150"/>
      <c r="C150"/>
      <c r="D150"/>
      <c r="E150"/>
      <c r="F150"/>
      <c r="G150"/>
      <c r="H150"/>
      <c r="I150"/>
      <c r="J150"/>
      <c r="K150"/>
      <c r="L150"/>
      <c r="M150"/>
      <c r="N150"/>
      <c r="O150"/>
      <c r="P150"/>
      <c r="Q150"/>
      <c r="R150"/>
      <c r="S150"/>
      <c r="T150"/>
      <c r="U150"/>
      <c r="V150"/>
      <c r="W150"/>
      <c r="X150"/>
      <c r="Y150"/>
      <c r="Z150"/>
    </row>
    <row r="151" spans="1:26">
      <c r="A151"/>
      <c r="B151"/>
      <c r="C151"/>
      <c r="D151"/>
      <c r="E151"/>
      <c r="F151"/>
      <c r="G151"/>
      <c r="H151"/>
      <c r="I151"/>
      <c r="J151"/>
      <c r="K151"/>
      <c r="L151"/>
      <c r="M151"/>
      <c r="N151"/>
      <c r="O151"/>
      <c r="P151"/>
      <c r="Q151"/>
      <c r="R151"/>
      <c r="S151"/>
      <c r="T151"/>
      <c r="U151"/>
      <c r="V151"/>
      <c r="W151"/>
      <c r="X151"/>
      <c r="Y151"/>
      <c r="Z151"/>
    </row>
    <row r="152" spans="1:26">
      <c r="A152"/>
      <c r="B152"/>
      <c r="C152"/>
      <c r="D152"/>
      <c r="E152"/>
      <c r="F152"/>
      <c r="G152"/>
      <c r="H152"/>
      <c r="I152"/>
      <c r="J152"/>
      <c r="K152"/>
      <c r="L152"/>
      <c r="M152"/>
      <c r="N152"/>
      <c r="O152"/>
      <c r="P152"/>
      <c r="Q152"/>
      <c r="R152"/>
      <c r="S152"/>
      <c r="T152"/>
      <c r="U152"/>
      <c r="V152"/>
      <c r="W152"/>
      <c r="X152"/>
      <c r="Y152"/>
      <c r="Z152"/>
    </row>
    <row r="153" spans="1:26">
      <c r="A153"/>
      <c r="B153"/>
      <c r="C153"/>
      <c r="D153"/>
      <c r="E153"/>
      <c r="F153"/>
      <c r="G153"/>
      <c r="H153"/>
      <c r="I153"/>
      <c r="J153"/>
      <c r="K153"/>
      <c r="L153"/>
      <c r="M153"/>
      <c r="N153"/>
      <c r="O153"/>
      <c r="P153"/>
      <c r="Q153"/>
      <c r="R153"/>
      <c r="S153"/>
      <c r="T153"/>
      <c r="U153"/>
      <c r="V153"/>
      <c r="W153"/>
      <c r="X153"/>
      <c r="Y153"/>
      <c r="Z153"/>
    </row>
    <row r="154" spans="1:26">
      <c r="A154"/>
      <c r="B154"/>
      <c r="C154"/>
      <c r="D154"/>
      <c r="E154"/>
      <c r="F154"/>
      <c r="G154"/>
      <c r="H154"/>
      <c r="I154"/>
      <c r="J154"/>
      <c r="K154"/>
      <c r="L154"/>
      <c r="M154"/>
      <c r="N154"/>
      <c r="O154"/>
      <c r="P154"/>
      <c r="Q154"/>
      <c r="R154"/>
      <c r="S154"/>
      <c r="T154"/>
      <c r="U154"/>
      <c r="V154"/>
      <c r="W154"/>
      <c r="X154"/>
      <c r="Y154"/>
      <c r="Z154"/>
    </row>
    <row r="155" spans="1:26">
      <c r="A155"/>
      <c r="B155"/>
      <c r="C155"/>
      <c r="D155"/>
      <c r="E155"/>
      <c r="F155"/>
      <c r="G155"/>
      <c r="H155"/>
      <c r="I155"/>
      <c r="J155"/>
      <c r="K155"/>
      <c r="L155"/>
      <c r="M155"/>
      <c r="N155"/>
      <c r="O155"/>
      <c r="P155"/>
      <c r="Q155"/>
      <c r="R155"/>
      <c r="S155"/>
      <c r="T155"/>
      <c r="U155"/>
      <c r="V155"/>
      <c r="W155"/>
      <c r="X155"/>
      <c r="Y155"/>
      <c r="Z155"/>
    </row>
    <row r="156" spans="1:26">
      <c r="A156"/>
      <c r="B156"/>
      <c r="C156"/>
      <c r="D156"/>
      <c r="E156"/>
      <c r="F156"/>
      <c r="G156"/>
      <c r="H156"/>
      <c r="I156"/>
      <c r="J156"/>
      <c r="K156"/>
      <c r="L156"/>
      <c r="M156"/>
      <c r="N156"/>
      <c r="O156"/>
      <c r="P156"/>
      <c r="Q156"/>
      <c r="R156"/>
      <c r="S156"/>
      <c r="T156"/>
      <c r="U156"/>
      <c r="V156"/>
      <c r="W156"/>
      <c r="X156"/>
      <c r="Y156"/>
      <c r="Z156"/>
    </row>
    <row r="157" spans="1:26">
      <c r="A157"/>
      <c r="B157"/>
      <c r="C157"/>
      <c r="D157"/>
      <c r="E157"/>
      <c r="F157"/>
      <c r="G157"/>
      <c r="H157"/>
      <c r="I157"/>
      <c r="J157"/>
      <c r="K157"/>
      <c r="L157"/>
      <c r="M157"/>
      <c r="N157"/>
      <c r="O157"/>
      <c r="P157"/>
      <c r="Q157"/>
      <c r="R157"/>
      <c r="S157"/>
      <c r="T157"/>
      <c r="U157"/>
      <c r="V157"/>
      <c r="W157"/>
      <c r="X157"/>
      <c r="Y157"/>
      <c r="Z157"/>
    </row>
    <row r="158" spans="1:26">
      <c r="A158"/>
      <c r="B158"/>
      <c r="C158"/>
      <c r="D158"/>
      <c r="E158"/>
      <c r="F158"/>
      <c r="G158"/>
      <c r="H158"/>
      <c r="I158"/>
      <c r="J158"/>
      <c r="K158"/>
      <c r="L158"/>
      <c r="M158"/>
      <c r="N158"/>
      <c r="O158"/>
      <c r="P158"/>
      <c r="Q158"/>
      <c r="R158"/>
      <c r="S158"/>
      <c r="T158"/>
      <c r="U158"/>
      <c r="V158"/>
      <c r="W158"/>
      <c r="X158"/>
      <c r="Y158"/>
      <c r="Z158"/>
    </row>
    <row r="159" spans="1:26">
      <c r="A159"/>
      <c r="B159"/>
      <c r="C159"/>
      <c r="D159"/>
      <c r="E159"/>
      <c r="F159"/>
      <c r="G159"/>
      <c r="H159"/>
      <c r="I159"/>
      <c r="J159"/>
      <c r="K159"/>
      <c r="L159"/>
      <c r="M159"/>
      <c r="N159"/>
      <c r="O159"/>
      <c r="P159"/>
      <c r="Q159"/>
      <c r="R159"/>
      <c r="S159"/>
      <c r="T159"/>
      <c r="U159"/>
      <c r="V159"/>
      <c r="W159"/>
      <c r="X159"/>
      <c r="Y159"/>
      <c r="Z159"/>
    </row>
    <row r="160" spans="1:26">
      <c r="A160"/>
      <c r="B160"/>
      <c r="C160"/>
      <c r="D160"/>
      <c r="E160"/>
      <c r="F160"/>
      <c r="G160"/>
      <c r="H160"/>
      <c r="I160"/>
      <c r="J160"/>
      <c r="K160"/>
      <c r="L160"/>
      <c r="M160"/>
      <c r="N160"/>
      <c r="O160"/>
      <c r="P160"/>
      <c r="Q160"/>
      <c r="R160"/>
      <c r="S160"/>
      <c r="T160"/>
      <c r="U160"/>
      <c r="V160"/>
      <c r="W160"/>
      <c r="X160"/>
      <c r="Y160"/>
      <c r="Z160"/>
    </row>
    <row r="161" spans="1:26">
      <c r="A161"/>
      <c r="B161"/>
      <c r="C161"/>
      <c r="D161"/>
      <c r="E161"/>
      <c r="F161"/>
      <c r="G161"/>
      <c r="H161"/>
      <c r="I161"/>
      <c r="J161"/>
      <c r="K161"/>
      <c r="L161"/>
      <c r="M161"/>
      <c r="N161"/>
      <c r="O161"/>
      <c r="P161"/>
      <c r="Q161"/>
      <c r="R161"/>
      <c r="S161"/>
      <c r="T161"/>
      <c r="U161"/>
      <c r="V161"/>
      <c r="W161"/>
      <c r="X161"/>
      <c r="Y161"/>
      <c r="Z161"/>
    </row>
    <row r="162" spans="1:26">
      <c r="A162"/>
      <c r="B162"/>
      <c r="C162"/>
      <c r="D162"/>
      <c r="E162"/>
      <c r="F162"/>
      <c r="G162"/>
      <c r="H162"/>
      <c r="I162"/>
      <c r="J162"/>
      <c r="K162"/>
      <c r="L162"/>
      <c r="M162"/>
      <c r="N162"/>
      <c r="O162"/>
      <c r="P162"/>
      <c r="Q162"/>
      <c r="R162"/>
      <c r="S162"/>
      <c r="T162"/>
      <c r="U162"/>
      <c r="V162"/>
      <c r="W162"/>
      <c r="X162"/>
      <c r="Y162"/>
      <c r="Z162"/>
    </row>
    <row r="163" spans="1:26">
      <c r="A163"/>
      <c r="B163"/>
      <c r="C163"/>
      <c r="D163"/>
      <c r="E163"/>
      <c r="F163"/>
      <c r="G163"/>
      <c r="H163"/>
      <c r="I163"/>
      <c r="J163"/>
      <c r="K163"/>
      <c r="L163"/>
      <c r="M163"/>
      <c r="N163"/>
      <c r="O163"/>
      <c r="P163"/>
      <c r="Q163"/>
      <c r="R163"/>
      <c r="S163"/>
      <c r="T163"/>
      <c r="U163"/>
      <c r="V163"/>
      <c r="W163"/>
      <c r="X163"/>
      <c r="Y163"/>
      <c r="Z163"/>
    </row>
    <row r="164" spans="1:26">
      <c r="A164"/>
      <c r="B164"/>
      <c r="C164"/>
      <c r="D164"/>
      <c r="E164"/>
      <c r="F164"/>
      <c r="G164"/>
      <c r="H164"/>
      <c r="I164"/>
      <c r="J164"/>
      <c r="K164"/>
      <c r="L164"/>
      <c r="M164"/>
      <c r="N164"/>
      <c r="O164"/>
      <c r="P164"/>
      <c r="Q164"/>
      <c r="R164"/>
      <c r="S164"/>
      <c r="T164"/>
      <c r="U164"/>
      <c r="V164"/>
      <c r="W164"/>
      <c r="X164"/>
      <c r="Y164"/>
      <c r="Z164"/>
    </row>
    <row r="165" spans="1:26">
      <c r="A165"/>
      <c r="B165"/>
      <c r="C165"/>
      <c r="D165"/>
      <c r="E165"/>
      <c r="F165"/>
      <c r="G165"/>
      <c r="H165"/>
      <c r="I165"/>
      <c r="J165"/>
      <c r="K165"/>
      <c r="L165"/>
      <c r="M165"/>
      <c r="N165"/>
      <c r="O165"/>
      <c r="P165"/>
      <c r="Q165"/>
      <c r="R165"/>
      <c r="S165"/>
      <c r="T165"/>
      <c r="U165"/>
      <c r="V165"/>
      <c r="W165"/>
      <c r="X165"/>
      <c r="Y165"/>
      <c r="Z165"/>
    </row>
    <row r="166" spans="1:26">
      <c r="A166"/>
      <c r="B166"/>
      <c r="C166"/>
      <c r="D166"/>
      <c r="E166"/>
      <c r="F166"/>
      <c r="G166"/>
      <c r="H166"/>
      <c r="I166"/>
      <c r="J166"/>
      <c r="K166"/>
      <c r="L166"/>
      <c r="M166"/>
      <c r="N166"/>
      <c r="O166"/>
      <c r="P166"/>
      <c r="Q166"/>
      <c r="R166"/>
      <c r="S166"/>
      <c r="T166"/>
      <c r="U166"/>
      <c r="V166"/>
      <c r="W166"/>
      <c r="X166"/>
      <c r="Y166"/>
      <c r="Z166"/>
    </row>
    <row r="167" spans="1:26">
      <c r="A167"/>
      <c r="B167"/>
      <c r="C167"/>
      <c r="D167"/>
      <c r="E167"/>
      <c r="F167"/>
      <c r="G167"/>
      <c r="H167"/>
      <c r="I167"/>
      <c r="J167"/>
      <c r="K167"/>
      <c r="L167"/>
      <c r="M167"/>
      <c r="N167"/>
      <c r="O167"/>
      <c r="P167"/>
      <c r="Q167"/>
      <c r="R167"/>
      <c r="S167"/>
      <c r="T167"/>
      <c r="U167"/>
      <c r="V167"/>
      <c r="W167"/>
      <c r="X167"/>
      <c r="Y167"/>
      <c r="Z167"/>
    </row>
    <row r="168" spans="1:26">
      <c r="A168"/>
      <c r="B168"/>
      <c r="C168"/>
      <c r="D168"/>
      <c r="E168"/>
      <c r="F168"/>
      <c r="G168"/>
      <c r="H168"/>
      <c r="I168"/>
      <c r="J168"/>
      <c r="K168"/>
      <c r="L168"/>
      <c r="M168"/>
      <c r="N168"/>
      <c r="O168"/>
      <c r="P168"/>
      <c r="Q168"/>
      <c r="R168"/>
      <c r="S168"/>
      <c r="T168"/>
      <c r="U168"/>
      <c r="V168"/>
      <c r="W168"/>
      <c r="X168"/>
      <c r="Y168"/>
      <c r="Z168"/>
    </row>
    <row r="169" spans="1:26">
      <c r="A169"/>
      <c r="B169"/>
      <c r="C169"/>
      <c r="D169"/>
      <c r="E169"/>
      <c r="F169"/>
      <c r="G169"/>
      <c r="H169"/>
      <c r="I169"/>
      <c r="J169"/>
      <c r="K169"/>
      <c r="L169"/>
      <c r="M169"/>
      <c r="N169"/>
      <c r="O169"/>
      <c r="P169"/>
      <c r="Q169"/>
      <c r="R169"/>
      <c r="S169"/>
      <c r="T169"/>
      <c r="U169"/>
      <c r="V169"/>
      <c r="W169"/>
      <c r="X169"/>
      <c r="Y169"/>
      <c r="Z169"/>
    </row>
    <row r="170" spans="1:26">
      <c r="A170"/>
      <c r="B170"/>
      <c r="C170"/>
      <c r="D170"/>
      <c r="E170"/>
      <c r="F170"/>
      <c r="G170"/>
      <c r="H170"/>
      <c r="I170"/>
      <c r="J170"/>
      <c r="K170"/>
      <c r="L170"/>
      <c r="M170"/>
      <c r="N170"/>
      <c r="O170"/>
      <c r="P170"/>
      <c r="Q170"/>
      <c r="R170"/>
      <c r="S170"/>
      <c r="T170"/>
      <c r="U170"/>
      <c r="V170"/>
      <c r="W170"/>
      <c r="X170"/>
      <c r="Y170"/>
      <c r="Z170"/>
    </row>
    <row r="171" spans="1:26">
      <c r="A171"/>
      <c r="B171"/>
      <c r="C171"/>
      <c r="D171"/>
      <c r="E171"/>
      <c r="F171"/>
      <c r="G171"/>
      <c r="H171"/>
      <c r="I171"/>
      <c r="J171"/>
      <c r="K171"/>
      <c r="L171"/>
      <c r="M171"/>
      <c r="N171"/>
      <c r="O171"/>
      <c r="P171"/>
      <c r="Q171"/>
      <c r="R171"/>
      <c r="S171"/>
      <c r="T171"/>
      <c r="U171"/>
      <c r="V171"/>
      <c r="W171"/>
      <c r="X171"/>
      <c r="Y171"/>
      <c r="Z171"/>
    </row>
    <row r="172" spans="1:26">
      <c r="A172"/>
      <c r="B172"/>
      <c r="C172"/>
      <c r="D172"/>
      <c r="E172"/>
      <c r="F172"/>
      <c r="G172"/>
      <c r="H172"/>
      <c r="I172"/>
      <c r="J172"/>
      <c r="K172"/>
      <c r="L172"/>
      <c r="M172"/>
      <c r="N172"/>
      <c r="O172"/>
      <c r="P172"/>
      <c r="Q172"/>
      <c r="R172"/>
      <c r="S172"/>
      <c r="T172"/>
      <c r="U172"/>
      <c r="V172"/>
      <c r="W172"/>
      <c r="X172"/>
      <c r="Y172"/>
      <c r="Z172"/>
    </row>
    <row r="173" spans="1:26">
      <c r="A173"/>
      <c r="B173"/>
      <c r="C173"/>
      <c r="D173"/>
      <c r="E173"/>
      <c r="F173"/>
      <c r="G173"/>
      <c r="H173"/>
      <c r="I173"/>
      <c r="J173"/>
      <c r="K173"/>
      <c r="L173"/>
      <c r="M173"/>
      <c r="N173"/>
      <c r="O173"/>
      <c r="P173"/>
      <c r="Q173"/>
      <c r="R173"/>
      <c r="S173"/>
      <c r="T173"/>
      <c r="U173"/>
      <c r="V173"/>
      <c r="W173"/>
      <c r="X173"/>
      <c r="Y173"/>
      <c r="Z173"/>
    </row>
    <row r="174" spans="1:26">
      <c r="A174"/>
      <c r="B174"/>
      <c r="C174"/>
      <c r="D174"/>
      <c r="E174"/>
      <c r="F174"/>
      <c r="G174"/>
      <c r="H174"/>
      <c r="I174"/>
      <c r="J174"/>
      <c r="K174"/>
      <c r="L174"/>
      <c r="M174"/>
      <c r="N174"/>
      <c r="O174"/>
      <c r="P174"/>
      <c r="Q174"/>
      <c r="R174"/>
      <c r="S174"/>
      <c r="T174"/>
      <c r="U174"/>
      <c r="V174"/>
      <c r="W174"/>
      <c r="X174"/>
      <c r="Y174"/>
      <c r="Z174"/>
    </row>
    <row r="175" spans="1:26">
      <c r="A175"/>
      <c r="B175"/>
      <c r="C175"/>
      <c r="D175"/>
      <c r="E175"/>
      <c r="F175"/>
      <c r="G175"/>
      <c r="H175"/>
      <c r="I175"/>
      <c r="J175"/>
      <c r="K175"/>
      <c r="L175"/>
      <c r="M175"/>
      <c r="N175"/>
      <c r="O175"/>
      <c r="P175"/>
      <c r="Q175"/>
      <c r="R175"/>
      <c r="S175"/>
      <c r="T175"/>
      <c r="U175"/>
      <c r="V175"/>
      <c r="W175"/>
      <c r="X175"/>
      <c r="Y175"/>
      <c r="Z175"/>
    </row>
    <row r="176" spans="1:26">
      <c r="A176"/>
      <c r="B176"/>
      <c r="C176"/>
      <c r="D176"/>
      <c r="E176"/>
      <c r="F176"/>
      <c r="G176"/>
      <c r="H176"/>
      <c r="I176"/>
      <c r="J176"/>
      <c r="K176"/>
      <c r="L176"/>
      <c r="M176"/>
      <c r="N176"/>
      <c r="O176"/>
      <c r="P176"/>
      <c r="Q176"/>
      <c r="R176"/>
      <c r="S176"/>
      <c r="T176"/>
      <c r="U176"/>
      <c r="V176"/>
      <c r="W176"/>
      <c r="X176"/>
      <c r="Y176"/>
      <c r="Z176"/>
    </row>
    <row r="177" spans="1:26">
      <c r="A177"/>
      <c r="B177"/>
      <c r="C177"/>
      <c r="D177"/>
      <c r="E177"/>
      <c r="F177"/>
      <c r="G177"/>
      <c r="H177"/>
      <c r="I177"/>
      <c r="J177"/>
      <c r="K177"/>
      <c r="L177"/>
      <c r="M177"/>
      <c r="N177"/>
      <c r="O177"/>
      <c r="P177"/>
      <c r="Q177"/>
      <c r="R177"/>
      <c r="S177"/>
      <c r="T177"/>
      <c r="U177"/>
      <c r="V177"/>
      <c r="W177"/>
      <c r="X177"/>
      <c r="Y177"/>
      <c r="Z177"/>
    </row>
    <row r="178" spans="1:26">
      <c r="A178"/>
      <c r="B178"/>
      <c r="C178"/>
      <c r="D178"/>
      <c r="E178"/>
      <c r="F178"/>
      <c r="G178"/>
      <c r="H178"/>
      <c r="I178"/>
      <c r="J178"/>
      <c r="K178"/>
      <c r="L178"/>
      <c r="M178"/>
      <c r="N178"/>
      <c r="O178"/>
      <c r="P178"/>
      <c r="Q178"/>
      <c r="R178"/>
      <c r="S178"/>
      <c r="T178"/>
      <c r="U178"/>
      <c r="V178"/>
      <c r="W178"/>
      <c r="X178"/>
      <c r="Y178"/>
      <c r="Z178"/>
    </row>
    <row r="179" spans="1:26">
      <c r="A179"/>
      <c r="B179"/>
      <c r="C179"/>
      <c r="D179"/>
      <c r="E179"/>
      <c r="F179"/>
      <c r="G179"/>
      <c r="H179"/>
      <c r="I179"/>
      <c r="J179"/>
      <c r="K179"/>
      <c r="L179"/>
      <c r="M179"/>
      <c r="N179"/>
      <c r="O179"/>
      <c r="P179"/>
      <c r="Q179"/>
      <c r="R179"/>
      <c r="S179"/>
      <c r="T179"/>
      <c r="U179"/>
      <c r="V179"/>
      <c r="W179"/>
      <c r="X179"/>
      <c r="Y179"/>
      <c r="Z179"/>
    </row>
    <row r="180" spans="1:26">
      <c r="A180"/>
      <c r="B180"/>
      <c r="C180"/>
      <c r="D180"/>
      <c r="E180"/>
      <c r="F180"/>
      <c r="G180"/>
      <c r="H180"/>
      <c r="I180"/>
      <c r="J180"/>
      <c r="K180"/>
      <c r="L180"/>
      <c r="M180"/>
      <c r="N180"/>
      <c r="O180"/>
      <c r="P180"/>
      <c r="Q180"/>
      <c r="R180"/>
      <c r="S180"/>
      <c r="T180"/>
      <c r="U180"/>
      <c r="V180"/>
      <c r="W180"/>
      <c r="X180"/>
      <c r="Y180"/>
      <c r="Z180"/>
    </row>
    <row r="181" spans="1:26">
      <c r="A181"/>
      <c r="B181"/>
      <c r="C181"/>
      <c r="D181"/>
      <c r="E181"/>
      <c r="F181"/>
      <c r="G181"/>
      <c r="H181"/>
      <c r="I181"/>
      <c r="J181"/>
      <c r="K181"/>
      <c r="L181"/>
      <c r="M181"/>
      <c r="N181"/>
      <c r="O181"/>
      <c r="P181"/>
      <c r="Q181"/>
      <c r="R181"/>
      <c r="S181"/>
      <c r="T181"/>
      <c r="U181"/>
      <c r="V181"/>
      <c r="W181"/>
      <c r="X181"/>
      <c r="Y181"/>
      <c r="Z181"/>
    </row>
    <row r="182" spans="1:26">
      <c r="A182"/>
      <c r="B182"/>
      <c r="C182"/>
      <c r="D182"/>
      <c r="E182"/>
      <c r="F182"/>
      <c r="G182"/>
      <c r="H182"/>
      <c r="I182"/>
      <c r="J182"/>
      <c r="K182"/>
      <c r="L182"/>
      <c r="M182"/>
      <c r="N182"/>
      <c r="O182"/>
      <c r="P182"/>
      <c r="Q182"/>
      <c r="R182"/>
      <c r="S182"/>
      <c r="T182"/>
      <c r="U182"/>
      <c r="V182"/>
      <c r="W182"/>
      <c r="X182"/>
      <c r="Y182"/>
      <c r="Z182"/>
    </row>
    <row r="183" spans="1:26">
      <c r="A183"/>
      <c r="B183"/>
      <c r="C183"/>
      <c r="D183"/>
      <c r="E183"/>
      <c r="F183"/>
      <c r="G183"/>
      <c r="H183"/>
      <c r="I183"/>
      <c r="J183"/>
      <c r="K183"/>
      <c r="L183"/>
      <c r="M183"/>
      <c r="N183"/>
      <c r="O183"/>
      <c r="P183"/>
      <c r="Q183"/>
      <c r="R183"/>
      <c r="S183"/>
      <c r="T183"/>
      <c r="U183"/>
      <c r="V183"/>
      <c r="W183"/>
      <c r="X183"/>
      <c r="Y183"/>
      <c r="Z183"/>
    </row>
    <row r="184" spans="1:26">
      <c r="A184"/>
      <c r="B184"/>
      <c r="C184"/>
      <c r="D184"/>
      <c r="E184"/>
      <c r="F184"/>
      <c r="G184"/>
      <c r="H184"/>
      <c r="I184"/>
      <c r="J184"/>
      <c r="K184"/>
      <c r="L184"/>
      <c r="M184"/>
      <c r="N184"/>
      <c r="O184"/>
      <c r="P184"/>
      <c r="Q184"/>
      <c r="R184"/>
      <c r="S184"/>
      <c r="T184"/>
      <c r="U184"/>
      <c r="V184"/>
      <c r="W184"/>
      <c r="X184"/>
      <c r="Y184"/>
      <c r="Z184"/>
    </row>
    <row r="185" spans="1:26">
      <c r="A185"/>
      <c r="B185"/>
      <c r="C185"/>
      <c r="D185"/>
      <c r="E185"/>
      <c r="F185"/>
      <c r="G185"/>
      <c r="H185"/>
      <c r="I185"/>
      <c r="J185"/>
      <c r="K185"/>
      <c r="L185"/>
      <c r="M185"/>
      <c r="N185"/>
      <c r="O185"/>
      <c r="P185"/>
      <c r="Q185"/>
      <c r="R185"/>
      <c r="S185"/>
      <c r="T185"/>
      <c r="U185"/>
      <c r="V185"/>
      <c r="W185"/>
      <c r="X185"/>
      <c r="Y185"/>
      <c r="Z185"/>
    </row>
    <row r="186" spans="1:26">
      <c r="A186"/>
      <c r="B186"/>
      <c r="C186"/>
      <c r="D186"/>
      <c r="E186"/>
      <c r="F186"/>
      <c r="G186"/>
      <c r="H186"/>
      <c r="I186"/>
      <c r="J186"/>
      <c r="K186"/>
      <c r="L186"/>
      <c r="M186"/>
      <c r="N186"/>
      <c r="O186"/>
      <c r="P186"/>
      <c r="Q186"/>
      <c r="R186"/>
      <c r="S186"/>
      <c r="T186"/>
      <c r="U186"/>
      <c r="V186"/>
      <c r="W186"/>
      <c r="X186"/>
      <c r="Y186"/>
      <c r="Z186"/>
    </row>
    <row r="187" spans="1:26">
      <c r="A187"/>
      <c r="B187"/>
      <c r="C187"/>
      <c r="D187"/>
      <c r="E187"/>
      <c r="F187"/>
      <c r="G187"/>
      <c r="H187"/>
      <c r="I187"/>
      <c r="J187"/>
      <c r="K187"/>
      <c r="L187"/>
      <c r="M187"/>
      <c r="N187"/>
      <c r="O187"/>
      <c r="P187"/>
      <c r="Q187"/>
      <c r="R187"/>
      <c r="S187"/>
      <c r="T187"/>
      <c r="U187"/>
      <c r="V187"/>
      <c r="W187"/>
      <c r="X187"/>
      <c r="Y187"/>
      <c r="Z187"/>
    </row>
    <row r="188" spans="1:26">
      <c r="A188"/>
      <c r="B188"/>
      <c r="C188"/>
      <c r="D188"/>
      <c r="E188"/>
      <c r="F188"/>
      <c r="G188"/>
      <c r="H188"/>
      <c r="I188"/>
      <c r="J188"/>
      <c r="K188"/>
      <c r="L188"/>
      <c r="M188"/>
      <c r="N188"/>
      <c r="O188"/>
      <c r="P188"/>
      <c r="Q188"/>
      <c r="R188"/>
      <c r="S188"/>
      <c r="T188"/>
      <c r="U188"/>
      <c r="V188"/>
      <c r="W188"/>
      <c r="X188"/>
      <c r="Y188"/>
      <c r="Z188"/>
    </row>
    <row r="189" spans="1:26">
      <c r="A189"/>
      <c r="B189"/>
      <c r="C189"/>
      <c r="D189"/>
      <c r="E189"/>
      <c r="F189"/>
      <c r="G189"/>
      <c r="H189"/>
      <c r="I189"/>
      <c r="J189"/>
      <c r="K189"/>
      <c r="L189"/>
      <c r="M189"/>
      <c r="N189"/>
      <c r="O189"/>
      <c r="P189"/>
      <c r="Q189"/>
      <c r="R189"/>
      <c r="S189"/>
      <c r="T189"/>
      <c r="U189"/>
      <c r="V189"/>
      <c r="W189"/>
      <c r="X189"/>
      <c r="Y189"/>
      <c r="Z189"/>
    </row>
    <row r="190" spans="1:26">
      <c r="A190"/>
      <c r="B190"/>
      <c r="C190"/>
      <c r="D190"/>
      <c r="E190"/>
      <c r="F190"/>
      <c r="G190"/>
      <c r="H190"/>
      <c r="I190"/>
      <c r="J190"/>
      <c r="K190"/>
      <c r="L190"/>
      <c r="M190"/>
      <c r="N190"/>
      <c r="O190"/>
      <c r="P190"/>
      <c r="Q190"/>
      <c r="R190"/>
      <c r="S190"/>
      <c r="T190"/>
      <c r="U190"/>
      <c r="V190"/>
      <c r="W190"/>
      <c r="X190"/>
      <c r="Y190"/>
      <c r="Z190"/>
    </row>
    <row r="191" spans="1:26">
      <c r="A191"/>
      <c r="B191"/>
      <c r="C191"/>
      <c r="D191"/>
      <c r="E191"/>
      <c r="F191"/>
      <c r="G191"/>
      <c r="H191"/>
      <c r="I191"/>
      <c r="J191"/>
      <c r="K191"/>
      <c r="L191"/>
      <c r="M191"/>
      <c r="N191"/>
      <c r="O191"/>
      <c r="P191"/>
      <c r="Q191"/>
      <c r="R191"/>
      <c r="S191"/>
      <c r="T191"/>
      <c r="U191"/>
      <c r="V191"/>
      <c r="W191"/>
      <c r="X191"/>
      <c r="Y191"/>
      <c r="Z191"/>
    </row>
    <row r="192" spans="1:26">
      <c r="A192"/>
      <c r="B192"/>
      <c r="C192"/>
      <c r="D192"/>
      <c r="E192"/>
      <c r="F192"/>
      <c r="G192"/>
      <c r="H192"/>
      <c r="I192"/>
      <c r="J192"/>
      <c r="K192"/>
      <c r="L192"/>
      <c r="M192"/>
      <c r="N192"/>
      <c r="O192"/>
      <c r="P192"/>
      <c r="Q192"/>
      <c r="R192"/>
      <c r="S192"/>
      <c r="T192"/>
      <c r="U192"/>
      <c r="V192"/>
      <c r="W192"/>
      <c r="X192"/>
      <c r="Y192"/>
      <c r="Z192"/>
    </row>
    <row r="193" spans="1:26">
      <c r="A193"/>
      <c r="B193"/>
      <c r="C193"/>
      <c r="D193"/>
      <c r="E193"/>
      <c r="F193"/>
      <c r="G193"/>
      <c r="H193"/>
      <c r="I193"/>
      <c r="J193"/>
      <c r="K193"/>
      <c r="L193"/>
      <c r="M193"/>
      <c r="N193"/>
      <c r="O193"/>
      <c r="P193"/>
      <c r="Q193"/>
      <c r="R193"/>
      <c r="S193"/>
      <c r="T193"/>
      <c r="U193"/>
      <c r="V193"/>
      <c r="W193"/>
      <c r="X193"/>
      <c r="Y193"/>
      <c r="Z193"/>
    </row>
    <row r="194" spans="1:26">
      <c r="A194"/>
      <c r="B194"/>
      <c r="C194"/>
      <c r="D194"/>
      <c r="E194"/>
      <c r="F194"/>
      <c r="G194"/>
      <c r="H194"/>
      <c r="I194"/>
      <c r="J194"/>
      <c r="K194"/>
      <c r="L194"/>
      <c r="M194"/>
      <c r="N194"/>
      <c r="O194"/>
      <c r="P194"/>
      <c r="Q194"/>
      <c r="R194"/>
      <c r="S194"/>
      <c r="T194"/>
      <c r="U194"/>
      <c r="V194"/>
      <c r="W194"/>
      <c r="X194"/>
      <c r="Y194"/>
      <c r="Z194"/>
    </row>
    <row r="195" spans="1:26">
      <c r="A195"/>
      <c r="B195"/>
      <c r="C195"/>
      <c r="D195"/>
      <c r="E195"/>
      <c r="F195"/>
      <c r="G195"/>
      <c r="H195"/>
      <c r="I195"/>
      <c r="J195"/>
      <c r="K195"/>
      <c r="L195"/>
      <c r="M195"/>
      <c r="N195"/>
      <c r="O195"/>
      <c r="P195"/>
      <c r="Q195"/>
      <c r="R195"/>
      <c r="S195"/>
      <c r="T195"/>
      <c r="U195"/>
      <c r="V195"/>
      <c r="W195"/>
      <c r="X195"/>
      <c r="Y195"/>
      <c r="Z195"/>
    </row>
    <row r="196" spans="1:26">
      <c r="A196"/>
      <c r="B196"/>
      <c r="C196"/>
      <c r="D196"/>
      <c r="E196"/>
      <c r="F196"/>
      <c r="G196"/>
      <c r="H196"/>
      <c r="I196"/>
      <c r="J196"/>
      <c r="K196"/>
      <c r="L196"/>
      <c r="M196"/>
      <c r="N196"/>
      <c r="O196"/>
      <c r="P196"/>
      <c r="Q196"/>
      <c r="R196"/>
      <c r="S196"/>
      <c r="T196"/>
      <c r="U196"/>
      <c r="V196"/>
      <c r="W196"/>
      <c r="X196"/>
      <c r="Y196"/>
      <c r="Z196"/>
    </row>
    <row r="197" spans="1:26">
      <c r="A197"/>
      <c r="B197"/>
      <c r="C197"/>
      <c r="D197"/>
      <c r="E197"/>
      <c r="F197"/>
      <c r="G197"/>
      <c r="H197"/>
      <c r="I197"/>
      <c r="J197"/>
      <c r="K197"/>
      <c r="L197"/>
      <c r="M197"/>
      <c r="N197"/>
      <c r="O197"/>
      <c r="P197"/>
      <c r="Q197"/>
      <c r="R197"/>
      <c r="S197"/>
      <c r="T197"/>
      <c r="U197"/>
      <c r="V197"/>
      <c r="W197"/>
      <c r="X197"/>
      <c r="Y197"/>
      <c r="Z197"/>
    </row>
    <row r="198" spans="1:26">
      <c r="A198"/>
      <c r="B198"/>
      <c r="C198"/>
      <c r="D198"/>
      <c r="E198"/>
      <c r="F198"/>
      <c r="G198"/>
      <c r="H198"/>
      <c r="I198"/>
      <c r="J198"/>
      <c r="K198"/>
      <c r="L198"/>
      <c r="M198"/>
      <c r="N198"/>
      <c r="O198"/>
      <c r="P198"/>
      <c r="Q198"/>
      <c r="R198"/>
      <c r="S198"/>
      <c r="T198"/>
      <c r="U198"/>
      <c r="V198"/>
      <c r="W198"/>
      <c r="X198"/>
      <c r="Y198"/>
      <c r="Z198"/>
    </row>
    <row r="199" spans="1:26">
      <c r="A199"/>
      <c r="B199"/>
      <c r="C199"/>
      <c r="D199"/>
      <c r="E199"/>
      <c r="F199"/>
      <c r="G199"/>
      <c r="H199"/>
      <c r="I199"/>
      <c r="J199"/>
      <c r="K199"/>
      <c r="L199"/>
      <c r="M199"/>
      <c r="N199"/>
      <c r="O199"/>
      <c r="P199"/>
      <c r="Q199"/>
      <c r="R199"/>
      <c r="S199"/>
      <c r="T199"/>
      <c r="U199"/>
      <c r="V199"/>
      <c r="W199"/>
      <c r="X199"/>
      <c r="Y199"/>
      <c r="Z199"/>
    </row>
    <row r="200" spans="1:26">
      <c r="A200"/>
      <c r="B200"/>
      <c r="C200"/>
      <c r="D200"/>
      <c r="E200"/>
      <c r="F200"/>
      <c r="G200"/>
      <c r="H200"/>
      <c r="I200"/>
      <c r="J200"/>
      <c r="K200"/>
      <c r="L200"/>
      <c r="M200"/>
      <c r="N200"/>
      <c r="O200"/>
      <c r="P200"/>
      <c r="Q200"/>
      <c r="R200"/>
      <c r="S200"/>
      <c r="T200"/>
      <c r="U200"/>
      <c r="V200"/>
      <c r="W200"/>
      <c r="X200"/>
      <c r="Y200"/>
      <c r="Z200"/>
    </row>
  </sheetData>
  <protectedRanges>
    <protectedRange sqref="S16:S17" name="区域1_1_2_2_1"/>
    <protectedRange sqref="I9:M9" name="区域1_1_3_2_1_1"/>
    <protectedRange sqref="H16:M17" name="区域1_1_2_2_2_1"/>
    <protectedRange sqref="I29 L29:M29" name="区域1_1_2_2_1_2_1"/>
    <protectedRange sqref="K33" name="区域1_1_2_2_1_3_1"/>
    <protectedRange sqref="K35" name="区域1_1_2_2_1_4_1"/>
    <protectedRange sqref="K36" name="区域1_1_2_2_1_5_1"/>
    <protectedRange sqref="K37" name="区域1_1_2_2_1_6_1"/>
    <protectedRange sqref="K38 K30:K32" name="区域1_1_2_2_1_7_1"/>
  </protectedRanges>
  <mergeCells count="6">
    <mergeCell ref="A36:S36"/>
    <mergeCell ref="A5:S5"/>
    <mergeCell ref="A2:S2"/>
    <mergeCell ref="A21:S21"/>
    <mergeCell ref="A27:S27"/>
    <mergeCell ref="A30:S30"/>
  </mergeCells>
  <phoneticPr fontId="15"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F4CB-5E4C-418A-8E2F-390AA732ADA3}">
  <dimension ref="A1:S200"/>
  <sheetViews>
    <sheetView topLeftCell="E1" zoomScale="90" zoomScaleNormal="90" workbookViewId="0">
      <pane ySplit="1" topLeftCell="A2" activePane="bottomLeft" state="frozen"/>
      <selection activeCell="C1" sqref="C1"/>
      <selection pane="bottomLeft" activeCell="L14" sqref="L14"/>
    </sheetView>
  </sheetViews>
  <sheetFormatPr baseColWidth="10" defaultColWidth="8.83203125" defaultRowHeight="15"/>
  <cols>
    <col min="1" max="1" width="21.6640625" customWidth="1"/>
    <col min="2" max="2" width="26.6640625" style="16" customWidth="1"/>
    <col min="3" max="3" width="26.6640625" style="14" customWidth="1"/>
    <col min="4" max="5" width="11.6640625" style="17" customWidth="1"/>
    <col min="6" max="6" width="10" style="17" customWidth="1"/>
    <col min="7" max="7" width="10.83203125" style="17" customWidth="1"/>
    <col min="8" max="8" width="9.1640625" style="17" customWidth="1"/>
    <col min="9" max="9" width="8.33203125" style="17" customWidth="1"/>
    <col min="10" max="10" width="9.1640625" style="17" customWidth="1"/>
    <col min="11" max="12" width="10" style="17" customWidth="1"/>
    <col min="13" max="13" width="8.33203125" style="17" customWidth="1"/>
    <col min="14" max="14" width="12.5" style="17" customWidth="1"/>
    <col min="15" max="15" width="10.83203125" style="25" customWidth="1"/>
    <col min="16" max="16" width="11.6640625" style="17" customWidth="1"/>
    <col min="17" max="17" width="13.33203125" style="19" customWidth="1"/>
    <col min="18" max="18" width="13.33203125" style="24" customWidth="1"/>
    <col min="19" max="19" width="14.1640625" customWidth="1"/>
  </cols>
  <sheetData>
    <row r="1" spans="1:19" ht="20" customHeight="1" thickBot="1">
      <c r="A1" s="176" t="s">
        <v>253</v>
      </c>
      <c r="B1" s="177" t="s">
        <v>1</v>
      </c>
      <c r="C1" s="177" t="s">
        <v>2</v>
      </c>
      <c r="D1" s="177" t="s">
        <v>254</v>
      </c>
      <c r="E1" s="177" t="s">
        <v>255</v>
      </c>
      <c r="F1" s="177" t="s">
        <v>190</v>
      </c>
      <c r="G1" s="177" t="s">
        <v>191</v>
      </c>
      <c r="H1" s="177" t="s">
        <v>327</v>
      </c>
      <c r="I1" s="177" t="s">
        <v>328</v>
      </c>
      <c r="J1" s="177" t="s">
        <v>258</v>
      </c>
      <c r="K1" s="177" t="s">
        <v>259</v>
      </c>
      <c r="L1" s="177" t="s">
        <v>260</v>
      </c>
      <c r="M1" s="177" t="s">
        <v>261</v>
      </c>
      <c r="N1" s="177" t="s">
        <v>291</v>
      </c>
      <c r="O1" s="177" t="s">
        <v>329</v>
      </c>
      <c r="P1" s="178" t="s">
        <v>262</v>
      </c>
      <c r="Q1" s="177" t="s">
        <v>263</v>
      </c>
      <c r="R1" s="177" t="s">
        <v>264</v>
      </c>
      <c r="S1" s="179" t="s">
        <v>293</v>
      </c>
    </row>
    <row r="2" spans="1:19" ht="22" customHeight="1">
      <c r="A2" s="237" t="s">
        <v>489</v>
      </c>
      <c r="B2" s="238"/>
      <c r="C2" s="238"/>
      <c r="D2" s="238"/>
      <c r="E2" s="238"/>
      <c r="F2" s="238"/>
      <c r="G2" s="238"/>
      <c r="H2" s="238"/>
      <c r="I2" s="238"/>
      <c r="J2" s="238"/>
      <c r="K2" s="238"/>
      <c r="L2" s="238"/>
      <c r="M2" s="238"/>
      <c r="N2" s="238"/>
      <c r="O2" s="238"/>
      <c r="P2" s="238"/>
      <c r="Q2" s="238"/>
      <c r="R2" s="238"/>
      <c r="S2" s="239"/>
    </row>
    <row r="3" spans="1:19" ht="24" customHeight="1">
      <c r="A3" s="201" t="s">
        <v>192</v>
      </c>
      <c r="B3" s="155" t="s">
        <v>15</v>
      </c>
      <c r="C3" s="155" t="s">
        <v>330</v>
      </c>
      <c r="D3" s="202" t="s">
        <v>17</v>
      </c>
      <c r="E3" s="202" t="s">
        <v>31</v>
      </c>
      <c r="F3" s="202" t="s">
        <v>194</v>
      </c>
      <c r="G3" s="181">
        <v>18</v>
      </c>
      <c r="H3" s="182">
        <v>70</v>
      </c>
      <c r="I3" s="182">
        <v>70</v>
      </c>
      <c r="J3" s="182">
        <v>140</v>
      </c>
      <c r="K3" s="182">
        <v>400</v>
      </c>
      <c r="L3" s="182">
        <v>10</v>
      </c>
      <c r="M3" s="182">
        <v>70</v>
      </c>
      <c r="N3" s="183">
        <f>SUM(H3:M3)</f>
        <v>760</v>
      </c>
      <c r="O3" s="182">
        <v>950</v>
      </c>
      <c r="P3" s="110">
        <v>2145</v>
      </c>
      <c r="Q3" s="184"/>
      <c r="R3" s="185">
        <f>IFERROR(N3+IF(ISNUMBER(O3),O3,0)+IF(ISNUMBER(P3),P3,0),"")</f>
        <v>3855</v>
      </c>
      <c r="S3" s="186" t="s">
        <v>356</v>
      </c>
    </row>
    <row r="4" spans="1:19" ht="24" customHeight="1">
      <c r="A4" s="201" t="s">
        <v>192</v>
      </c>
      <c r="B4" s="155" t="s">
        <v>128</v>
      </c>
      <c r="C4" s="155" t="s">
        <v>330</v>
      </c>
      <c r="D4" s="202" t="s">
        <v>17</v>
      </c>
      <c r="E4" s="202" t="s">
        <v>31</v>
      </c>
      <c r="F4" s="202" t="s">
        <v>199</v>
      </c>
      <c r="G4" s="181">
        <v>4</v>
      </c>
      <c r="H4" s="182">
        <v>70</v>
      </c>
      <c r="I4" s="182">
        <v>70</v>
      </c>
      <c r="J4" s="182">
        <v>140</v>
      </c>
      <c r="K4" s="182">
        <v>200</v>
      </c>
      <c r="L4" s="182">
        <v>20</v>
      </c>
      <c r="M4" s="182">
        <v>50</v>
      </c>
      <c r="N4" s="183">
        <f>SUM(H4:M4)</f>
        <v>550</v>
      </c>
      <c r="O4" s="182">
        <v>950</v>
      </c>
      <c r="P4" s="110">
        <v>3650</v>
      </c>
      <c r="Q4" s="184"/>
      <c r="R4" s="185">
        <f>IFERROR(N4+IF(ISNUMBER(O4),O4,0)+IF(ISNUMBER(P4),P4,0),"")</f>
        <v>5150</v>
      </c>
      <c r="S4" s="186" t="s">
        <v>212</v>
      </c>
    </row>
    <row r="5" spans="1:19" ht="22" customHeight="1">
      <c r="A5" s="240" t="s">
        <v>502</v>
      </c>
      <c r="B5" s="241"/>
      <c r="C5" s="241"/>
      <c r="D5" s="241"/>
      <c r="E5" s="241"/>
      <c r="F5" s="241"/>
      <c r="G5" s="241"/>
      <c r="H5" s="241"/>
      <c r="I5" s="241"/>
      <c r="J5" s="241"/>
      <c r="K5" s="241"/>
      <c r="L5" s="241"/>
      <c r="M5" s="241"/>
      <c r="N5" s="241"/>
      <c r="O5" s="241"/>
      <c r="P5" s="241"/>
      <c r="Q5" s="241"/>
      <c r="R5" s="241"/>
      <c r="S5" s="242"/>
    </row>
    <row r="6" spans="1:19" ht="24" customHeight="1">
      <c r="A6" s="146" t="s">
        <v>331</v>
      </c>
      <c r="B6" s="81" t="s">
        <v>40</v>
      </c>
      <c r="C6" s="81" t="s">
        <v>229</v>
      </c>
      <c r="D6" s="147" t="s">
        <v>39</v>
      </c>
      <c r="E6" s="147" t="s">
        <v>332</v>
      </c>
      <c r="F6" s="147" t="s">
        <v>230</v>
      </c>
      <c r="G6" s="111">
        <v>9</v>
      </c>
      <c r="H6" s="112">
        <v>70</v>
      </c>
      <c r="I6" s="112">
        <v>50</v>
      </c>
      <c r="J6" s="112">
        <v>260</v>
      </c>
      <c r="K6" s="112">
        <v>250</v>
      </c>
      <c r="L6" s="112">
        <v>90</v>
      </c>
      <c r="M6" s="112">
        <v>80</v>
      </c>
      <c r="N6" s="113">
        <f t="shared" ref="N6:N20" si="0">SUM(H6:M6)</f>
        <v>800</v>
      </c>
      <c r="O6" s="112" t="s">
        <v>169</v>
      </c>
      <c r="P6" s="110">
        <v>2350</v>
      </c>
      <c r="Q6" s="114"/>
      <c r="R6" s="115">
        <f t="shared" ref="R6:R20" si="1">IFERROR(N6+IF(ISNUMBER(O6),O6,0)+IF(ISNUMBER(P6),P6,0),"")</f>
        <v>3150</v>
      </c>
      <c r="S6" s="137" t="s">
        <v>141</v>
      </c>
    </row>
    <row r="7" spans="1:19" ht="24" customHeight="1">
      <c r="A7" s="146" t="s">
        <v>231</v>
      </c>
      <c r="B7" s="81" t="s">
        <v>232</v>
      </c>
      <c r="C7" s="81" t="s">
        <v>233</v>
      </c>
      <c r="D7" s="147" t="s">
        <v>56</v>
      </c>
      <c r="E7" s="147" t="s">
        <v>332</v>
      </c>
      <c r="F7" s="147" t="s">
        <v>230</v>
      </c>
      <c r="G7" s="111">
        <v>2</v>
      </c>
      <c r="H7" s="112">
        <v>70</v>
      </c>
      <c r="I7" s="112">
        <v>50</v>
      </c>
      <c r="J7" s="112">
        <v>260</v>
      </c>
      <c r="K7" s="112">
        <v>325</v>
      </c>
      <c r="L7" s="112">
        <v>90</v>
      </c>
      <c r="M7" s="112">
        <v>80</v>
      </c>
      <c r="N7" s="113">
        <f t="shared" si="0"/>
        <v>875</v>
      </c>
      <c r="O7" s="112" t="s">
        <v>169</v>
      </c>
      <c r="P7" s="110">
        <v>2100</v>
      </c>
      <c r="Q7" s="114"/>
      <c r="R7" s="115">
        <f t="shared" si="1"/>
        <v>2975</v>
      </c>
      <c r="S7" s="137" t="s">
        <v>140</v>
      </c>
    </row>
    <row r="8" spans="1:19" ht="24" customHeight="1">
      <c r="A8" s="146" t="s">
        <v>331</v>
      </c>
      <c r="B8" s="81" t="s">
        <v>94</v>
      </c>
      <c r="C8" s="81" t="s">
        <v>235</v>
      </c>
      <c r="D8" s="147" t="s">
        <v>39</v>
      </c>
      <c r="E8" s="147" t="s">
        <v>332</v>
      </c>
      <c r="F8" s="147" t="s">
        <v>230</v>
      </c>
      <c r="G8" s="111">
        <v>0.5</v>
      </c>
      <c r="H8" s="112">
        <v>70</v>
      </c>
      <c r="I8" s="112">
        <v>50</v>
      </c>
      <c r="J8" s="112">
        <v>260</v>
      </c>
      <c r="K8" s="112">
        <v>250</v>
      </c>
      <c r="L8" s="112">
        <v>90</v>
      </c>
      <c r="M8" s="112">
        <v>80</v>
      </c>
      <c r="N8" s="113">
        <f t="shared" si="0"/>
        <v>800</v>
      </c>
      <c r="O8" s="112" t="s">
        <v>169</v>
      </c>
      <c r="P8" s="110">
        <v>2250</v>
      </c>
      <c r="Q8" s="114"/>
      <c r="R8" s="115">
        <f t="shared" si="1"/>
        <v>3050</v>
      </c>
      <c r="S8" s="137" t="s">
        <v>140</v>
      </c>
    </row>
    <row r="9" spans="1:19" ht="24" customHeight="1">
      <c r="A9" s="146" t="s">
        <v>333</v>
      </c>
      <c r="B9" s="81" t="s">
        <v>102</v>
      </c>
      <c r="C9" s="81" t="s">
        <v>233</v>
      </c>
      <c r="D9" s="147" t="s">
        <v>29</v>
      </c>
      <c r="E9" s="147" t="s">
        <v>332</v>
      </c>
      <c r="F9" s="147" t="s">
        <v>230</v>
      </c>
      <c r="G9" s="111">
        <v>1</v>
      </c>
      <c r="H9" s="112">
        <v>70</v>
      </c>
      <c r="I9" s="112">
        <v>80</v>
      </c>
      <c r="J9" s="112">
        <v>160</v>
      </c>
      <c r="K9" s="112">
        <v>1000</v>
      </c>
      <c r="L9" s="112">
        <v>50</v>
      </c>
      <c r="M9" s="112">
        <v>75</v>
      </c>
      <c r="N9" s="113">
        <f t="shared" si="0"/>
        <v>1435</v>
      </c>
      <c r="O9" s="112" t="s">
        <v>169</v>
      </c>
      <c r="P9" s="110">
        <v>2500</v>
      </c>
      <c r="Q9" s="114"/>
      <c r="R9" s="115">
        <f t="shared" si="1"/>
        <v>3935</v>
      </c>
      <c r="S9" s="137" t="s">
        <v>140</v>
      </c>
    </row>
    <row r="10" spans="1:19" ht="24" customHeight="1">
      <c r="A10" s="146" t="s">
        <v>237</v>
      </c>
      <c r="B10" s="81" t="s">
        <v>103</v>
      </c>
      <c r="C10" s="81" t="s">
        <v>233</v>
      </c>
      <c r="D10" s="147" t="s">
        <v>334</v>
      </c>
      <c r="E10" s="147" t="s">
        <v>332</v>
      </c>
      <c r="F10" s="147" t="s">
        <v>230</v>
      </c>
      <c r="G10" s="111">
        <v>1</v>
      </c>
      <c r="H10" s="112">
        <v>70</v>
      </c>
      <c r="I10" s="112">
        <v>35</v>
      </c>
      <c r="J10" s="112">
        <v>145</v>
      </c>
      <c r="K10" s="112">
        <v>350</v>
      </c>
      <c r="L10" s="112">
        <v>150</v>
      </c>
      <c r="M10" s="112">
        <v>50</v>
      </c>
      <c r="N10" s="113">
        <f t="shared" si="0"/>
        <v>800</v>
      </c>
      <c r="O10" s="112" t="s">
        <v>169</v>
      </c>
      <c r="P10" s="110">
        <v>2390</v>
      </c>
      <c r="Q10" s="114"/>
      <c r="R10" s="115">
        <f t="shared" si="1"/>
        <v>3190</v>
      </c>
      <c r="S10" s="137" t="s">
        <v>140</v>
      </c>
    </row>
    <row r="11" spans="1:19" ht="24" customHeight="1">
      <c r="A11" s="146" t="s">
        <v>335</v>
      </c>
      <c r="B11" s="81" t="s">
        <v>82</v>
      </c>
      <c r="C11" s="81" t="s">
        <v>235</v>
      </c>
      <c r="D11" s="147" t="s">
        <v>17</v>
      </c>
      <c r="E11" s="147" t="s">
        <v>332</v>
      </c>
      <c r="F11" s="147" t="s">
        <v>230</v>
      </c>
      <c r="G11" s="111">
        <v>2</v>
      </c>
      <c r="H11" s="112">
        <v>70</v>
      </c>
      <c r="I11" s="112">
        <v>70</v>
      </c>
      <c r="J11" s="112">
        <v>145</v>
      </c>
      <c r="K11" s="112">
        <v>550</v>
      </c>
      <c r="L11" s="112">
        <v>15</v>
      </c>
      <c r="M11" s="112">
        <v>60</v>
      </c>
      <c r="N11" s="113">
        <f t="shared" si="0"/>
        <v>910</v>
      </c>
      <c r="O11" s="112" t="s">
        <v>169</v>
      </c>
      <c r="P11" s="110">
        <v>1790</v>
      </c>
      <c r="Q11" s="114"/>
      <c r="R11" s="115">
        <f t="shared" si="1"/>
        <v>2700</v>
      </c>
      <c r="S11" s="137" t="s">
        <v>140</v>
      </c>
    </row>
    <row r="12" spans="1:19" ht="24" customHeight="1">
      <c r="A12" s="146" t="s">
        <v>335</v>
      </c>
      <c r="B12" s="81" t="s">
        <v>83</v>
      </c>
      <c r="C12" s="81" t="s">
        <v>235</v>
      </c>
      <c r="D12" s="147" t="s">
        <v>17</v>
      </c>
      <c r="E12" s="147" t="s">
        <v>332</v>
      </c>
      <c r="F12" s="147" t="s">
        <v>230</v>
      </c>
      <c r="G12" s="111">
        <v>1</v>
      </c>
      <c r="H12" s="112">
        <v>70</v>
      </c>
      <c r="I12" s="112">
        <v>70</v>
      </c>
      <c r="J12" s="112">
        <v>145</v>
      </c>
      <c r="K12" s="112">
        <v>550</v>
      </c>
      <c r="L12" s="112">
        <v>15</v>
      </c>
      <c r="M12" s="112">
        <v>60</v>
      </c>
      <c r="N12" s="113">
        <f t="shared" si="0"/>
        <v>910</v>
      </c>
      <c r="O12" s="112" t="s">
        <v>169</v>
      </c>
      <c r="P12" s="110">
        <v>1800</v>
      </c>
      <c r="Q12" s="114"/>
      <c r="R12" s="115">
        <f t="shared" si="1"/>
        <v>2710</v>
      </c>
      <c r="S12" s="137" t="s">
        <v>140</v>
      </c>
    </row>
    <row r="13" spans="1:19" ht="24" customHeight="1">
      <c r="A13" s="146" t="s">
        <v>335</v>
      </c>
      <c r="B13" s="81" t="s">
        <v>84</v>
      </c>
      <c r="C13" s="81" t="s">
        <v>235</v>
      </c>
      <c r="D13" s="147" t="s">
        <v>17</v>
      </c>
      <c r="E13" s="147" t="s">
        <v>332</v>
      </c>
      <c r="F13" s="147" t="s">
        <v>230</v>
      </c>
      <c r="G13" s="111">
        <v>1</v>
      </c>
      <c r="H13" s="112">
        <v>70</v>
      </c>
      <c r="I13" s="112">
        <v>70</v>
      </c>
      <c r="J13" s="112">
        <v>145</v>
      </c>
      <c r="K13" s="112">
        <v>550</v>
      </c>
      <c r="L13" s="112">
        <v>15</v>
      </c>
      <c r="M13" s="112">
        <v>60</v>
      </c>
      <c r="N13" s="113">
        <f t="shared" si="0"/>
        <v>910</v>
      </c>
      <c r="O13" s="112" t="s">
        <v>169</v>
      </c>
      <c r="P13" s="110">
        <v>1800</v>
      </c>
      <c r="Q13" s="114"/>
      <c r="R13" s="115">
        <f t="shared" si="1"/>
        <v>2710</v>
      </c>
      <c r="S13" s="137" t="s">
        <v>140</v>
      </c>
    </row>
    <row r="14" spans="1:19" ht="24" customHeight="1">
      <c r="A14" s="146" t="s">
        <v>335</v>
      </c>
      <c r="B14" s="81" t="s">
        <v>85</v>
      </c>
      <c r="C14" s="81" t="s">
        <v>235</v>
      </c>
      <c r="D14" s="147" t="s">
        <v>17</v>
      </c>
      <c r="E14" s="147" t="s">
        <v>332</v>
      </c>
      <c r="F14" s="147" t="s">
        <v>230</v>
      </c>
      <c r="G14" s="111">
        <v>2</v>
      </c>
      <c r="H14" s="112">
        <v>70</v>
      </c>
      <c r="I14" s="112">
        <v>70</v>
      </c>
      <c r="J14" s="112">
        <v>145</v>
      </c>
      <c r="K14" s="112">
        <v>250</v>
      </c>
      <c r="L14" s="112">
        <v>15</v>
      </c>
      <c r="M14" s="112">
        <v>60</v>
      </c>
      <c r="N14" s="113">
        <f t="shared" si="0"/>
        <v>610</v>
      </c>
      <c r="O14" s="112" t="s">
        <v>169</v>
      </c>
      <c r="P14" s="110">
        <v>1800</v>
      </c>
      <c r="Q14" s="114"/>
      <c r="R14" s="115">
        <f t="shared" si="1"/>
        <v>2410</v>
      </c>
      <c r="S14" s="137" t="s">
        <v>140</v>
      </c>
    </row>
    <row r="15" spans="1:19" ht="24" customHeight="1">
      <c r="A15" s="146" t="s">
        <v>335</v>
      </c>
      <c r="B15" s="81" t="s">
        <v>86</v>
      </c>
      <c r="C15" s="81" t="s">
        <v>235</v>
      </c>
      <c r="D15" s="147" t="s">
        <v>17</v>
      </c>
      <c r="E15" s="147" t="s">
        <v>332</v>
      </c>
      <c r="F15" s="147" t="s">
        <v>230</v>
      </c>
      <c r="G15" s="111">
        <v>2</v>
      </c>
      <c r="H15" s="112">
        <v>70</v>
      </c>
      <c r="I15" s="112">
        <v>70</v>
      </c>
      <c r="J15" s="112">
        <v>145</v>
      </c>
      <c r="K15" s="112">
        <v>200</v>
      </c>
      <c r="L15" s="112">
        <v>15</v>
      </c>
      <c r="M15" s="112">
        <v>50</v>
      </c>
      <c r="N15" s="113">
        <f t="shared" si="0"/>
        <v>550</v>
      </c>
      <c r="O15" s="112" t="s">
        <v>169</v>
      </c>
      <c r="P15" s="110">
        <v>1770</v>
      </c>
      <c r="Q15" s="114"/>
      <c r="R15" s="115">
        <f t="shared" si="1"/>
        <v>2320</v>
      </c>
      <c r="S15" s="137" t="s">
        <v>140</v>
      </c>
    </row>
    <row r="16" spans="1:19" ht="24" customHeight="1">
      <c r="A16" s="146" t="s">
        <v>335</v>
      </c>
      <c r="B16" s="81" t="s">
        <v>87</v>
      </c>
      <c r="C16" s="81" t="s">
        <v>235</v>
      </c>
      <c r="D16" s="147" t="s">
        <v>17</v>
      </c>
      <c r="E16" s="147" t="s">
        <v>332</v>
      </c>
      <c r="F16" s="147" t="s">
        <v>230</v>
      </c>
      <c r="G16" s="111">
        <v>0.5</v>
      </c>
      <c r="H16" s="112">
        <v>70</v>
      </c>
      <c r="I16" s="112">
        <v>70</v>
      </c>
      <c r="J16" s="112">
        <v>145</v>
      </c>
      <c r="K16" s="112">
        <v>1550</v>
      </c>
      <c r="L16" s="112">
        <v>15</v>
      </c>
      <c r="M16" s="112">
        <v>60</v>
      </c>
      <c r="N16" s="113">
        <f t="shared" si="0"/>
        <v>1910</v>
      </c>
      <c r="O16" s="112" t="s">
        <v>169</v>
      </c>
      <c r="P16" s="110">
        <v>1800</v>
      </c>
      <c r="Q16" s="114"/>
      <c r="R16" s="115">
        <f t="shared" si="1"/>
        <v>3710</v>
      </c>
      <c r="S16" s="137" t="s">
        <v>140</v>
      </c>
    </row>
    <row r="17" spans="1:19" ht="24" customHeight="1">
      <c r="A17" s="146" t="s">
        <v>335</v>
      </c>
      <c r="B17" s="81" t="s">
        <v>97</v>
      </c>
      <c r="C17" s="81" t="s">
        <v>233</v>
      </c>
      <c r="D17" s="147" t="s">
        <v>17</v>
      </c>
      <c r="E17" s="147" t="s">
        <v>332</v>
      </c>
      <c r="F17" s="147" t="s">
        <v>230</v>
      </c>
      <c r="G17" s="111">
        <v>4</v>
      </c>
      <c r="H17" s="112">
        <v>70</v>
      </c>
      <c r="I17" s="112">
        <v>70</v>
      </c>
      <c r="J17" s="112">
        <v>145</v>
      </c>
      <c r="K17" s="112">
        <v>350</v>
      </c>
      <c r="L17" s="112">
        <v>15</v>
      </c>
      <c r="M17" s="112">
        <v>60</v>
      </c>
      <c r="N17" s="113">
        <f t="shared" si="0"/>
        <v>710</v>
      </c>
      <c r="O17" s="112" t="s">
        <v>169</v>
      </c>
      <c r="P17" s="110">
        <v>1800</v>
      </c>
      <c r="Q17" s="114"/>
      <c r="R17" s="115">
        <f t="shared" si="1"/>
        <v>2510</v>
      </c>
      <c r="S17" s="137" t="s">
        <v>140</v>
      </c>
    </row>
    <row r="18" spans="1:19" ht="24" customHeight="1">
      <c r="A18" s="146" t="s">
        <v>335</v>
      </c>
      <c r="B18" s="81" t="s">
        <v>98</v>
      </c>
      <c r="C18" s="81" t="s">
        <v>233</v>
      </c>
      <c r="D18" s="147" t="s">
        <v>17</v>
      </c>
      <c r="E18" s="147" t="s">
        <v>332</v>
      </c>
      <c r="F18" s="147" t="s">
        <v>230</v>
      </c>
      <c r="G18" s="111">
        <v>1</v>
      </c>
      <c r="H18" s="112">
        <v>70</v>
      </c>
      <c r="I18" s="112">
        <v>70</v>
      </c>
      <c r="J18" s="112">
        <v>145</v>
      </c>
      <c r="K18" s="112">
        <v>50</v>
      </c>
      <c r="L18" s="112">
        <v>15</v>
      </c>
      <c r="M18" s="112">
        <v>60</v>
      </c>
      <c r="N18" s="113">
        <f t="shared" si="0"/>
        <v>410</v>
      </c>
      <c r="O18" s="112" t="s">
        <v>169</v>
      </c>
      <c r="P18" s="110">
        <v>1745</v>
      </c>
      <c r="Q18" s="114"/>
      <c r="R18" s="115">
        <f t="shared" si="1"/>
        <v>2155</v>
      </c>
      <c r="S18" s="137" t="s">
        <v>140</v>
      </c>
    </row>
    <row r="19" spans="1:19" ht="24" customHeight="1">
      <c r="A19" s="146" t="s">
        <v>335</v>
      </c>
      <c r="B19" s="81" t="s">
        <v>99</v>
      </c>
      <c r="C19" s="81" t="s">
        <v>233</v>
      </c>
      <c r="D19" s="147" t="s">
        <v>17</v>
      </c>
      <c r="E19" s="147" t="s">
        <v>332</v>
      </c>
      <c r="F19" s="147" t="s">
        <v>230</v>
      </c>
      <c r="G19" s="111">
        <v>2</v>
      </c>
      <c r="H19" s="112">
        <v>70</v>
      </c>
      <c r="I19" s="112">
        <v>70</v>
      </c>
      <c r="J19" s="112">
        <v>145</v>
      </c>
      <c r="K19" s="112">
        <v>550</v>
      </c>
      <c r="L19" s="112">
        <v>15</v>
      </c>
      <c r="M19" s="112">
        <v>60</v>
      </c>
      <c r="N19" s="113">
        <f t="shared" si="0"/>
        <v>910</v>
      </c>
      <c r="O19" s="112" t="s">
        <v>169</v>
      </c>
      <c r="P19" s="110">
        <v>1800</v>
      </c>
      <c r="Q19" s="114"/>
      <c r="R19" s="115">
        <f t="shared" si="1"/>
        <v>2710</v>
      </c>
      <c r="S19" s="137" t="s">
        <v>140</v>
      </c>
    </row>
    <row r="20" spans="1:19" ht="24" customHeight="1">
      <c r="A20" s="146" t="s">
        <v>335</v>
      </c>
      <c r="B20" s="81" t="s">
        <v>100</v>
      </c>
      <c r="C20" s="81" t="s">
        <v>233</v>
      </c>
      <c r="D20" s="147" t="s">
        <v>17</v>
      </c>
      <c r="E20" s="147" t="s">
        <v>332</v>
      </c>
      <c r="F20" s="147" t="s">
        <v>230</v>
      </c>
      <c r="G20" s="111">
        <v>2</v>
      </c>
      <c r="H20" s="112">
        <v>70</v>
      </c>
      <c r="I20" s="112">
        <v>70</v>
      </c>
      <c r="J20" s="112">
        <v>145</v>
      </c>
      <c r="K20" s="112">
        <v>1500</v>
      </c>
      <c r="L20" s="112">
        <v>15</v>
      </c>
      <c r="M20" s="112">
        <v>60</v>
      </c>
      <c r="N20" s="113">
        <f t="shared" si="0"/>
        <v>1860</v>
      </c>
      <c r="O20" s="112" t="s">
        <v>169</v>
      </c>
      <c r="P20" s="110">
        <v>1800</v>
      </c>
      <c r="Q20" s="114"/>
      <c r="R20" s="115">
        <f t="shared" si="1"/>
        <v>3660</v>
      </c>
      <c r="S20" s="137" t="s">
        <v>140</v>
      </c>
    </row>
    <row r="21" spans="1:19" ht="22" customHeight="1">
      <c r="A21" s="243" t="s">
        <v>503</v>
      </c>
      <c r="B21" s="244"/>
      <c r="C21" s="244"/>
      <c r="D21" s="244"/>
      <c r="E21" s="244"/>
      <c r="F21" s="244"/>
      <c r="G21" s="244"/>
      <c r="H21" s="244"/>
      <c r="I21" s="244"/>
      <c r="J21" s="244"/>
      <c r="K21" s="244"/>
      <c r="L21" s="244"/>
      <c r="M21" s="244"/>
      <c r="N21" s="244"/>
      <c r="O21" s="244"/>
      <c r="P21" s="244"/>
      <c r="Q21" s="244"/>
      <c r="R21" s="244"/>
      <c r="S21" s="245"/>
    </row>
    <row r="22" spans="1:19" ht="24" customHeight="1">
      <c r="A22" s="148" t="s">
        <v>201</v>
      </c>
      <c r="B22" s="82" t="s">
        <v>15</v>
      </c>
      <c r="C22" s="82" t="s">
        <v>336</v>
      </c>
      <c r="D22" s="149" t="s">
        <v>17</v>
      </c>
      <c r="E22" s="149" t="s">
        <v>18</v>
      </c>
      <c r="F22" s="149" t="s">
        <v>199</v>
      </c>
      <c r="G22" s="116">
        <v>2</v>
      </c>
      <c r="H22" s="117">
        <v>70</v>
      </c>
      <c r="I22" s="117">
        <v>70</v>
      </c>
      <c r="J22" s="117">
        <v>140</v>
      </c>
      <c r="K22" s="117">
        <v>400</v>
      </c>
      <c r="L22" s="117">
        <v>10</v>
      </c>
      <c r="M22" s="117">
        <v>70</v>
      </c>
      <c r="N22" s="118">
        <f>SUM(H22:M22)</f>
        <v>760</v>
      </c>
      <c r="O22" s="117">
        <v>2685</v>
      </c>
      <c r="P22" s="110">
        <v>2600</v>
      </c>
      <c r="Q22" s="119"/>
      <c r="R22" s="120">
        <f>IFERROR(N22+IF(ISNUMBER(O22),O22,0)+IF(ISNUMBER(P22),P22,0),"")</f>
        <v>6045</v>
      </c>
      <c r="S22" s="138" t="s">
        <v>140</v>
      </c>
    </row>
    <row r="23" spans="1:19" ht="24" customHeight="1">
      <c r="A23" s="148" t="s">
        <v>204</v>
      </c>
      <c r="B23" s="82" t="s">
        <v>337</v>
      </c>
      <c r="C23" s="82" t="s">
        <v>338</v>
      </c>
      <c r="D23" s="149" t="s">
        <v>17</v>
      </c>
      <c r="E23" s="149" t="s">
        <v>23</v>
      </c>
      <c r="F23" s="149" t="s">
        <v>199</v>
      </c>
      <c r="G23" s="116">
        <v>1</v>
      </c>
      <c r="H23" s="117">
        <v>70</v>
      </c>
      <c r="I23" s="117">
        <v>70</v>
      </c>
      <c r="J23" s="117">
        <v>140</v>
      </c>
      <c r="K23" s="117">
        <v>250</v>
      </c>
      <c r="L23" s="117">
        <v>10</v>
      </c>
      <c r="M23" s="117">
        <v>70</v>
      </c>
      <c r="N23" s="118">
        <f>SUM(H23:M23)</f>
        <v>610</v>
      </c>
      <c r="O23" s="117">
        <v>885</v>
      </c>
      <c r="P23" s="110">
        <v>4050</v>
      </c>
      <c r="Q23" s="119"/>
      <c r="R23" s="120">
        <f>IFERROR(N23+IF(ISNUMBER(O23),O23,0)+IF(ISNUMBER(P23),P23,0),"")</f>
        <v>5545</v>
      </c>
      <c r="S23" s="138" t="s">
        <v>140</v>
      </c>
    </row>
    <row r="24" spans="1:19" ht="24" customHeight="1">
      <c r="A24" s="148" t="s">
        <v>339</v>
      </c>
      <c r="B24" s="82" t="s">
        <v>24</v>
      </c>
      <c r="C24" s="82" t="s">
        <v>340</v>
      </c>
      <c r="D24" s="149" t="s">
        <v>26</v>
      </c>
      <c r="E24" s="149" t="s">
        <v>27</v>
      </c>
      <c r="F24" s="149" t="s">
        <v>199</v>
      </c>
      <c r="G24" s="116">
        <v>3</v>
      </c>
      <c r="H24" s="117">
        <v>70</v>
      </c>
      <c r="I24" s="117">
        <v>70</v>
      </c>
      <c r="J24" s="117">
        <v>140</v>
      </c>
      <c r="K24" s="117">
        <v>300</v>
      </c>
      <c r="L24" s="117">
        <v>30</v>
      </c>
      <c r="M24" s="117">
        <v>70</v>
      </c>
      <c r="N24" s="118">
        <f>SUM(H24:M24)</f>
        <v>680</v>
      </c>
      <c r="O24" s="117">
        <v>2785</v>
      </c>
      <c r="P24" s="110">
        <v>2495</v>
      </c>
      <c r="Q24" s="119"/>
      <c r="R24" s="120">
        <f>IFERROR(N24+IF(ISNUMBER(O24),O24,0)+IF(ISNUMBER(P24),P24,0),"")</f>
        <v>5960</v>
      </c>
      <c r="S24" s="138" t="s">
        <v>141</v>
      </c>
    </row>
    <row r="25" spans="1:19" ht="24" customHeight="1">
      <c r="A25" s="148" t="s">
        <v>341</v>
      </c>
      <c r="B25" s="82" t="s">
        <v>28</v>
      </c>
      <c r="C25" s="82" t="s">
        <v>340</v>
      </c>
      <c r="D25" s="149" t="s">
        <v>29</v>
      </c>
      <c r="E25" s="149" t="s">
        <v>27</v>
      </c>
      <c r="F25" s="149" t="s">
        <v>199</v>
      </c>
      <c r="G25" s="116">
        <v>3</v>
      </c>
      <c r="H25" s="117">
        <v>70</v>
      </c>
      <c r="I25" s="117">
        <v>80</v>
      </c>
      <c r="J25" s="117">
        <v>160</v>
      </c>
      <c r="K25" s="117">
        <v>1000</v>
      </c>
      <c r="L25" s="117">
        <v>50</v>
      </c>
      <c r="M25" s="117">
        <v>75</v>
      </c>
      <c r="N25" s="118">
        <f>SUM(H25:M25)</f>
        <v>1435</v>
      </c>
      <c r="O25" s="117">
        <v>2785</v>
      </c>
      <c r="P25" s="110">
        <v>2485</v>
      </c>
      <c r="Q25" s="119"/>
      <c r="R25" s="120">
        <f>IFERROR(N25+IF(ISNUMBER(O25),O25,0)+IF(ISNUMBER(P25),P25,0),"")</f>
        <v>6705</v>
      </c>
      <c r="S25" s="138" t="s">
        <v>141</v>
      </c>
    </row>
    <row r="26" spans="1:19" ht="24" customHeight="1">
      <c r="A26" s="148" t="s">
        <v>209</v>
      </c>
      <c r="B26" s="82" t="s">
        <v>15</v>
      </c>
      <c r="C26" s="82" t="s">
        <v>340</v>
      </c>
      <c r="D26" s="149" t="s">
        <v>17</v>
      </c>
      <c r="E26" s="149" t="s">
        <v>27</v>
      </c>
      <c r="F26" s="149" t="s">
        <v>199</v>
      </c>
      <c r="G26" s="116">
        <v>3</v>
      </c>
      <c r="H26" s="117">
        <v>70</v>
      </c>
      <c r="I26" s="117">
        <v>70</v>
      </c>
      <c r="J26" s="117">
        <v>140</v>
      </c>
      <c r="K26" s="117">
        <v>400</v>
      </c>
      <c r="L26" s="117">
        <v>10</v>
      </c>
      <c r="M26" s="117">
        <v>70</v>
      </c>
      <c r="N26" s="118">
        <f>SUM(H26:M26)</f>
        <v>760</v>
      </c>
      <c r="O26" s="117">
        <v>2785</v>
      </c>
      <c r="P26" s="110">
        <v>2250</v>
      </c>
      <c r="Q26" s="119"/>
      <c r="R26" s="120">
        <f>IFERROR(N26+IF(ISNUMBER(O26),O26,0)+IF(ISNUMBER(P26),P26,0),"")</f>
        <v>5795</v>
      </c>
      <c r="S26" s="138" t="s">
        <v>141</v>
      </c>
    </row>
    <row r="27" spans="1:19" ht="22" customHeight="1">
      <c r="A27" s="246" t="s">
        <v>480</v>
      </c>
      <c r="B27" s="247"/>
      <c r="C27" s="247"/>
      <c r="D27" s="247"/>
      <c r="E27" s="247"/>
      <c r="F27" s="247"/>
      <c r="G27" s="247"/>
      <c r="H27" s="247"/>
      <c r="I27" s="247"/>
      <c r="J27" s="247"/>
      <c r="K27" s="247"/>
      <c r="L27" s="247"/>
      <c r="M27" s="247"/>
      <c r="N27" s="247"/>
      <c r="O27" s="247"/>
      <c r="P27" s="247"/>
      <c r="Q27" s="247"/>
      <c r="R27" s="247"/>
      <c r="S27" s="248"/>
    </row>
    <row r="28" spans="1:19" ht="24" customHeight="1">
      <c r="A28" s="203" t="s">
        <v>225</v>
      </c>
      <c r="B28" s="163" t="s">
        <v>342</v>
      </c>
      <c r="C28" s="163" t="s">
        <v>15</v>
      </c>
      <c r="D28" s="204" t="s">
        <v>56</v>
      </c>
      <c r="E28" s="204" t="s">
        <v>17</v>
      </c>
      <c r="F28" s="204" t="s">
        <v>199</v>
      </c>
      <c r="G28" s="187">
        <v>2</v>
      </c>
      <c r="H28" s="188">
        <v>70</v>
      </c>
      <c r="I28" s="188">
        <v>50</v>
      </c>
      <c r="J28" s="188">
        <v>260</v>
      </c>
      <c r="K28" s="188">
        <v>325</v>
      </c>
      <c r="L28" s="188">
        <v>90</v>
      </c>
      <c r="M28" s="188">
        <v>80</v>
      </c>
      <c r="N28" s="189">
        <f>SUM(H28:M28)</f>
        <v>875</v>
      </c>
      <c r="O28" s="188">
        <v>600</v>
      </c>
      <c r="P28" s="110">
        <v>1</v>
      </c>
      <c r="Q28" s="190"/>
      <c r="R28" s="191">
        <f>IFERROR(N28+IF(ISNUMBER(O28),O28,0)+IF(ISNUMBER(P28),P28,0),"")</f>
        <v>1476</v>
      </c>
      <c r="S28" s="192" t="s">
        <v>131</v>
      </c>
    </row>
    <row r="29" spans="1:19" ht="24" customHeight="1">
      <c r="A29" s="203" t="s">
        <v>226</v>
      </c>
      <c r="B29" s="163" t="s">
        <v>343</v>
      </c>
      <c r="C29" s="163" t="s">
        <v>15</v>
      </c>
      <c r="D29" s="204" t="s">
        <v>334</v>
      </c>
      <c r="E29" s="204" t="s">
        <v>17</v>
      </c>
      <c r="F29" s="204" t="s">
        <v>199</v>
      </c>
      <c r="G29" s="187">
        <v>1</v>
      </c>
      <c r="H29" s="188">
        <v>70</v>
      </c>
      <c r="I29" s="188">
        <v>35</v>
      </c>
      <c r="J29" s="188">
        <v>145</v>
      </c>
      <c r="K29" s="188">
        <v>350</v>
      </c>
      <c r="L29" s="188">
        <v>150</v>
      </c>
      <c r="M29" s="188">
        <v>50</v>
      </c>
      <c r="N29" s="189">
        <f>SUM(H29:M29)</f>
        <v>800</v>
      </c>
      <c r="O29" s="188">
        <v>600</v>
      </c>
      <c r="P29" s="110">
        <v>1</v>
      </c>
      <c r="Q29" s="190"/>
      <c r="R29" s="191">
        <f>IFERROR(N29+IF(ISNUMBER(O29),O29,0)+IF(ISNUMBER(P29),P29,0),"")</f>
        <v>1401</v>
      </c>
      <c r="S29" s="192" t="s">
        <v>131</v>
      </c>
    </row>
    <row r="30" spans="1:19" ht="22" customHeight="1">
      <c r="A30" s="249" t="s">
        <v>481</v>
      </c>
      <c r="B30" s="250"/>
      <c r="C30" s="250"/>
      <c r="D30" s="250"/>
      <c r="E30" s="250"/>
      <c r="F30" s="250"/>
      <c r="G30" s="250"/>
      <c r="H30" s="250"/>
      <c r="I30" s="250"/>
      <c r="J30" s="250"/>
      <c r="K30" s="250"/>
      <c r="L30" s="250"/>
      <c r="M30" s="250"/>
      <c r="N30" s="250"/>
      <c r="O30" s="250"/>
      <c r="P30" s="250"/>
      <c r="Q30" s="250"/>
      <c r="R30" s="250"/>
      <c r="S30" s="251"/>
    </row>
    <row r="31" spans="1:19" ht="24" customHeight="1">
      <c r="A31" s="150" t="s">
        <v>344</v>
      </c>
      <c r="B31" s="83" t="s">
        <v>345</v>
      </c>
      <c r="C31" s="83" t="s">
        <v>346</v>
      </c>
      <c r="D31" s="151" t="s">
        <v>17</v>
      </c>
      <c r="E31" s="151" t="s">
        <v>39</v>
      </c>
      <c r="F31" s="151" t="s">
        <v>199</v>
      </c>
      <c r="G31" s="121">
        <v>1</v>
      </c>
      <c r="H31" s="122">
        <v>70</v>
      </c>
      <c r="I31" s="122">
        <v>70</v>
      </c>
      <c r="J31" s="122">
        <v>140</v>
      </c>
      <c r="K31" s="122">
        <v>250</v>
      </c>
      <c r="L31" s="122">
        <v>10</v>
      </c>
      <c r="M31" s="122">
        <v>70</v>
      </c>
      <c r="N31" s="123">
        <f>SUM(H31:M31)</f>
        <v>610</v>
      </c>
      <c r="O31" s="122">
        <v>800</v>
      </c>
      <c r="P31" s="110">
        <v>395</v>
      </c>
      <c r="Q31" s="124"/>
      <c r="R31" s="125">
        <f>IFERROR(N31+IF(ISNUMBER(O31),O31,0)+IF(ISNUMBER(P31),P31,0),"")</f>
        <v>1805</v>
      </c>
      <c r="S31" s="139" t="s">
        <v>143</v>
      </c>
    </row>
    <row r="32" spans="1:19" ht="24" customHeight="1">
      <c r="A32" s="150" t="s">
        <v>344</v>
      </c>
      <c r="B32" s="83" t="s">
        <v>347</v>
      </c>
      <c r="C32" s="83" t="s">
        <v>348</v>
      </c>
      <c r="D32" s="151" t="s">
        <v>17</v>
      </c>
      <c r="E32" s="151" t="s">
        <v>39</v>
      </c>
      <c r="F32" s="151" t="s">
        <v>199</v>
      </c>
      <c r="G32" s="121">
        <v>3</v>
      </c>
      <c r="H32" s="122">
        <v>70</v>
      </c>
      <c r="I32" s="122">
        <v>70</v>
      </c>
      <c r="J32" s="122">
        <v>140</v>
      </c>
      <c r="K32" s="122">
        <v>250</v>
      </c>
      <c r="L32" s="122">
        <v>10</v>
      </c>
      <c r="M32" s="122">
        <v>70</v>
      </c>
      <c r="N32" s="123">
        <f>SUM(H32:M32)</f>
        <v>610</v>
      </c>
      <c r="O32" s="122">
        <v>800</v>
      </c>
      <c r="P32" s="110">
        <v>420</v>
      </c>
      <c r="Q32" s="124"/>
      <c r="R32" s="125">
        <f>IFERROR(N32+IF(ISNUMBER(O32),O32,0)+IF(ISNUMBER(P32),P32,0),"")</f>
        <v>1830</v>
      </c>
      <c r="S32" s="139" t="s">
        <v>143</v>
      </c>
    </row>
    <row r="33" spans="1:19" ht="24" customHeight="1">
      <c r="A33" s="150" t="s">
        <v>349</v>
      </c>
      <c r="B33" s="83" t="s">
        <v>350</v>
      </c>
      <c r="C33" s="83" t="s">
        <v>346</v>
      </c>
      <c r="D33" s="151" t="s">
        <v>44</v>
      </c>
      <c r="E33" s="151" t="s">
        <v>39</v>
      </c>
      <c r="F33" s="151" t="s">
        <v>199</v>
      </c>
      <c r="G33" s="121">
        <v>0.5</v>
      </c>
      <c r="H33" s="122">
        <v>70</v>
      </c>
      <c r="I33" s="122">
        <v>70</v>
      </c>
      <c r="J33" s="122">
        <v>140</v>
      </c>
      <c r="K33" s="122">
        <v>420</v>
      </c>
      <c r="L33" s="122">
        <v>30</v>
      </c>
      <c r="M33" s="122">
        <v>70</v>
      </c>
      <c r="N33" s="123">
        <f>SUM(H33:M33)</f>
        <v>800</v>
      </c>
      <c r="O33" s="122">
        <v>800</v>
      </c>
      <c r="P33" s="110">
        <v>205</v>
      </c>
      <c r="Q33" s="124"/>
      <c r="R33" s="125">
        <f>IFERROR(N33+IF(ISNUMBER(O33),O33,0)+IF(ISNUMBER(P33),P33,0),"")</f>
        <v>1805</v>
      </c>
      <c r="S33" s="139" t="s">
        <v>143</v>
      </c>
    </row>
    <row r="34" spans="1:19" ht="24" customHeight="1">
      <c r="A34" s="150" t="s">
        <v>351</v>
      </c>
      <c r="B34" s="83" t="s">
        <v>45</v>
      </c>
      <c r="C34" s="83" t="s">
        <v>348</v>
      </c>
      <c r="D34" s="151" t="s">
        <v>46</v>
      </c>
      <c r="E34" s="151" t="s">
        <v>39</v>
      </c>
      <c r="F34" s="151" t="s">
        <v>199</v>
      </c>
      <c r="G34" s="121">
        <v>0.5</v>
      </c>
      <c r="H34" s="122">
        <v>70</v>
      </c>
      <c r="I34" s="122">
        <v>70</v>
      </c>
      <c r="J34" s="122">
        <v>140</v>
      </c>
      <c r="K34" s="122">
        <v>420</v>
      </c>
      <c r="L34" s="122">
        <v>30</v>
      </c>
      <c r="M34" s="122">
        <v>70</v>
      </c>
      <c r="N34" s="123">
        <f>SUM(H34:M34)</f>
        <v>800</v>
      </c>
      <c r="O34" s="122">
        <v>800</v>
      </c>
      <c r="P34" s="110">
        <v>1640</v>
      </c>
      <c r="Q34" s="124"/>
      <c r="R34" s="125">
        <f>IFERROR(N34+IF(ISNUMBER(O34),O34,0)+IF(ISNUMBER(P34),P34,0),"")</f>
        <v>3240</v>
      </c>
      <c r="S34" s="139" t="s">
        <v>357</v>
      </c>
    </row>
    <row r="35" spans="1:19" ht="24" customHeight="1">
      <c r="A35" s="150" t="s">
        <v>352</v>
      </c>
      <c r="B35" s="83" t="s">
        <v>348</v>
      </c>
      <c r="C35" s="83" t="s">
        <v>353</v>
      </c>
      <c r="D35" s="151" t="s">
        <v>39</v>
      </c>
      <c r="E35" s="151" t="s">
        <v>79</v>
      </c>
      <c r="F35" s="151" t="s">
        <v>224</v>
      </c>
      <c r="G35" s="121">
        <v>6</v>
      </c>
      <c r="H35" s="122">
        <v>70</v>
      </c>
      <c r="I35" s="122">
        <v>70</v>
      </c>
      <c r="J35" s="122">
        <v>140</v>
      </c>
      <c r="K35" s="122">
        <v>300</v>
      </c>
      <c r="L35" s="122">
        <v>30</v>
      </c>
      <c r="M35" s="122">
        <v>70</v>
      </c>
      <c r="N35" s="123">
        <f>SUM(H35:M35)</f>
        <v>680</v>
      </c>
      <c r="O35" s="122">
        <v>2200</v>
      </c>
      <c r="P35" s="110">
        <v>2670</v>
      </c>
      <c r="Q35" s="124"/>
      <c r="R35" s="125">
        <f>IFERROR(N35+IF(ISNUMBER(O35),O35,0)+IF(ISNUMBER(P35),P35,0),"")</f>
        <v>5550</v>
      </c>
      <c r="S35" s="139" t="s">
        <v>143</v>
      </c>
    </row>
    <row r="36" spans="1:19" ht="22" customHeight="1">
      <c r="A36" s="234" t="s">
        <v>482</v>
      </c>
      <c r="B36" s="235"/>
      <c r="C36" s="235"/>
      <c r="D36" s="235"/>
      <c r="E36" s="235"/>
      <c r="F36" s="235"/>
      <c r="G36" s="235"/>
      <c r="H36" s="235"/>
      <c r="I36" s="235"/>
      <c r="J36" s="235"/>
      <c r="K36" s="235"/>
      <c r="L36" s="235"/>
      <c r="M36" s="235"/>
      <c r="N36" s="235"/>
      <c r="O36" s="235"/>
      <c r="P36" s="235"/>
      <c r="Q36" s="235"/>
      <c r="R36" s="235"/>
      <c r="S36" s="236"/>
    </row>
    <row r="37" spans="1:19" ht="24" customHeight="1">
      <c r="A37" s="152" t="s">
        <v>211</v>
      </c>
      <c r="B37" s="84" t="s">
        <v>354</v>
      </c>
      <c r="C37" s="84" t="s">
        <v>353</v>
      </c>
      <c r="D37" s="153" t="s">
        <v>17</v>
      </c>
      <c r="E37" s="153" t="s">
        <v>79</v>
      </c>
      <c r="F37" s="153" t="s">
        <v>199</v>
      </c>
      <c r="G37" s="126">
        <v>1</v>
      </c>
      <c r="H37" s="127">
        <v>70</v>
      </c>
      <c r="I37" s="127">
        <v>70</v>
      </c>
      <c r="J37" s="127">
        <v>140</v>
      </c>
      <c r="K37" s="127">
        <v>400</v>
      </c>
      <c r="L37" s="127">
        <v>10</v>
      </c>
      <c r="M37" s="127">
        <v>70</v>
      </c>
      <c r="N37" s="128">
        <f>SUM(H37:M37)</f>
        <v>760</v>
      </c>
      <c r="O37" s="127">
        <v>2200</v>
      </c>
      <c r="P37" s="110">
        <v>1890</v>
      </c>
      <c r="Q37" s="129"/>
      <c r="R37" s="130">
        <f>IFERROR(N37+IF(ISNUMBER(O37),O37,0)+IF(ISNUMBER(P37),P37,0),"")</f>
        <v>4850</v>
      </c>
      <c r="S37" s="140" t="s">
        <v>142</v>
      </c>
    </row>
    <row r="38" spans="1:19" ht="24" customHeight="1">
      <c r="A38" s="152" t="s">
        <v>355</v>
      </c>
      <c r="B38" s="84" t="s">
        <v>64</v>
      </c>
      <c r="C38" s="84" t="s">
        <v>353</v>
      </c>
      <c r="D38" s="153" t="s">
        <v>29</v>
      </c>
      <c r="E38" s="153" t="s">
        <v>79</v>
      </c>
      <c r="F38" s="153" t="s">
        <v>199</v>
      </c>
      <c r="G38" s="126">
        <v>2</v>
      </c>
      <c r="H38" s="127">
        <v>70</v>
      </c>
      <c r="I38" s="127">
        <v>70</v>
      </c>
      <c r="J38" s="127">
        <v>140</v>
      </c>
      <c r="K38" s="127">
        <v>300</v>
      </c>
      <c r="L38" s="127">
        <v>250</v>
      </c>
      <c r="M38" s="127">
        <v>70</v>
      </c>
      <c r="N38" s="128">
        <f>SUM(H38:M38)</f>
        <v>900</v>
      </c>
      <c r="O38" s="127">
        <v>2200</v>
      </c>
      <c r="P38" s="110">
        <v>4603</v>
      </c>
      <c r="Q38" s="129"/>
      <c r="R38" s="130">
        <f>IFERROR(N38+IF(ISNUMBER(O38),O38,0)+IF(ISNUMBER(P38),P38,0),"")</f>
        <v>7703</v>
      </c>
      <c r="S38" s="140" t="s">
        <v>357</v>
      </c>
    </row>
    <row r="39" spans="1:19" ht="24" customHeight="1" thickBot="1">
      <c r="A39" s="199" t="s">
        <v>215</v>
      </c>
      <c r="B39" s="85" t="s">
        <v>74</v>
      </c>
      <c r="C39" s="85" t="s">
        <v>353</v>
      </c>
      <c r="D39" s="200" t="s">
        <v>56</v>
      </c>
      <c r="E39" s="200" t="s">
        <v>79</v>
      </c>
      <c r="F39" s="200" t="s">
        <v>199</v>
      </c>
      <c r="G39" s="131">
        <v>0.5</v>
      </c>
      <c r="H39" s="132">
        <v>70</v>
      </c>
      <c r="I39" s="132">
        <v>70</v>
      </c>
      <c r="J39" s="132">
        <v>140</v>
      </c>
      <c r="K39" s="132">
        <v>300</v>
      </c>
      <c r="L39" s="132">
        <v>250</v>
      </c>
      <c r="M39" s="132">
        <v>70</v>
      </c>
      <c r="N39" s="133">
        <f>SUM(H39:M39)</f>
        <v>900</v>
      </c>
      <c r="O39" s="132">
        <v>2200</v>
      </c>
      <c r="P39" s="134">
        <v>5156</v>
      </c>
      <c r="Q39" s="135"/>
      <c r="R39" s="136">
        <f>IFERROR(N39+IF(ISNUMBER(O39),O39,0)+IF(ISNUMBER(P39),P39,0),"")</f>
        <v>8256</v>
      </c>
      <c r="S39" s="141" t="s">
        <v>357</v>
      </c>
    </row>
    <row r="40" spans="1:19">
      <c r="B40"/>
      <c r="C40"/>
      <c r="D40"/>
      <c r="E40"/>
      <c r="F40"/>
      <c r="G40"/>
      <c r="H40"/>
      <c r="I40"/>
      <c r="J40"/>
      <c r="K40"/>
      <c r="L40"/>
      <c r="M40"/>
      <c r="N40"/>
      <c r="O40"/>
      <c r="P40"/>
      <c r="Q40"/>
      <c r="R40"/>
    </row>
    <row r="41" spans="1:19">
      <c r="B41"/>
      <c r="C41"/>
      <c r="D41"/>
      <c r="E41"/>
      <c r="F41"/>
      <c r="G41"/>
      <c r="H41"/>
      <c r="I41"/>
      <c r="J41"/>
      <c r="K41"/>
      <c r="L41"/>
      <c r="M41"/>
      <c r="N41"/>
      <c r="O41"/>
      <c r="P41"/>
      <c r="Q41"/>
      <c r="R41"/>
    </row>
    <row r="42" spans="1:19">
      <c r="B42"/>
      <c r="C42"/>
      <c r="D42"/>
      <c r="E42"/>
      <c r="F42"/>
      <c r="G42"/>
      <c r="H42"/>
      <c r="I42"/>
      <c r="J42"/>
      <c r="K42"/>
      <c r="L42"/>
      <c r="M42"/>
      <c r="N42"/>
      <c r="O42"/>
      <c r="P42"/>
      <c r="Q42"/>
      <c r="R42"/>
    </row>
    <row r="43" spans="1:19">
      <c r="B43"/>
      <c r="C43"/>
      <c r="D43"/>
      <c r="E43"/>
      <c r="F43"/>
      <c r="G43"/>
      <c r="H43"/>
      <c r="I43"/>
      <c r="J43"/>
      <c r="K43"/>
      <c r="L43"/>
      <c r="M43"/>
      <c r="N43"/>
      <c r="O43"/>
      <c r="P43"/>
      <c r="Q43"/>
      <c r="R43"/>
    </row>
    <row r="44" spans="1:19">
      <c r="B44"/>
      <c r="C44"/>
      <c r="D44"/>
      <c r="E44"/>
      <c r="F44"/>
      <c r="G44"/>
      <c r="H44"/>
      <c r="I44"/>
      <c r="J44"/>
      <c r="K44"/>
      <c r="L44"/>
      <c r="M44"/>
      <c r="N44"/>
      <c r="O44"/>
      <c r="P44"/>
      <c r="Q44"/>
      <c r="R44"/>
    </row>
    <row r="45" spans="1:19">
      <c r="B45"/>
      <c r="C45"/>
      <c r="D45"/>
      <c r="E45"/>
      <c r="F45"/>
      <c r="G45"/>
      <c r="H45"/>
      <c r="I45"/>
      <c r="J45"/>
      <c r="K45"/>
      <c r="L45"/>
      <c r="M45"/>
      <c r="N45"/>
      <c r="O45"/>
      <c r="P45"/>
      <c r="Q45"/>
      <c r="R45"/>
    </row>
    <row r="46" spans="1:19">
      <c r="B46"/>
      <c r="C46"/>
      <c r="D46"/>
      <c r="E46"/>
      <c r="F46"/>
      <c r="G46"/>
      <c r="H46"/>
      <c r="I46"/>
      <c r="J46"/>
      <c r="K46"/>
      <c r="L46"/>
      <c r="M46"/>
      <c r="N46"/>
      <c r="O46"/>
      <c r="P46"/>
      <c r="Q46"/>
      <c r="R46"/>
    </row>
    <row r="47" spans="1:19">
      <c r="B47"/>
      <c r="C47"/>
      <c r="D47"/>
      <c r="E47"/>
      <c r="F47"/>
      <c r="G47"/>
      <c r="H47"/>
      <c r="I47"/>
      <c r="J47"/>
      <c r="K47"/>
      <c r="L47"/>
      <c r="M47"/>
      <c r="N47"/>
      <c r="O47"/>
      <c r="P47"/>
      <c r="Q47"/>
      <c r="R47"/>
    </row>
    <row r="48" spans="1:19">
      <c r="B48"/>
      <c r="C48"/>
      <c r="D48"/>
      <c r="E48"/>
      <c r="F48"/>
      <c r="G48"/>
      <c r="H48"/>
      <c r="I48"/>
      <c r="J48"/>
      <c r="K48"/>
      <c r="L48"/>
      <c r="M48"/>
      <c r="N48"/>
      <c r="O48"/>
      <c r="P48"/>
      <c r="Q48"/>
      <c r="R48"/>
    </row>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sheetData>
  <protectedRanges>
    <protectedRange sqref="R16:R17" name="区域1_1_2_2_1"/>
    <protectedRange sqref="I9:M9" name="区域1_1_3_2_1"/>
    <protectedRange sqref="H16:M17" name="区域1_1_2_2_2"/>
    <protectedRange sqref="I29 L29:M29" name="区域1_1_2_2_1_2"/>
    <protectedRange sqref="K33" name="区域1_1_2_2_1_3"/>
    <protectedRange sqref="K35" name="区域1_1_2_2_1_4"/>
    <protectedRange sqref="K36" name="区域1_1_2_2_1_5"/>
    <protectedRange sqref="K37" name="区域1_1_2_2_1_6"/>
    <protectedRange sqref="K38 K30:K32" name="区域1_1_2_2_1_7"/>
  </protectedRanges>
  <mergeCells count="6">
    <mergeCell ref="A36:S36"/>
    <mergeCell ref="A2:S2"/>
    <mergeCell ref="A5:S5"/>
    <mergeCell ref="A21:S21"/>
    <mergeCell ref="A27:S27"/>
    <mergeCell ref="A30:S30"/>
  </mergeCells>
  <phoneticPr fontId="7"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3B40B-E318-4B30-98EF-08143C248FCC}">
  <dimension ref="A1:Z200"/>
  <sheetViews>
    <sheetView topLeftCell="E1" zoomScale="90" zoomScaleNormal="90" workbookViewId="0">
      <pane ySplit="1" topLeftCell="A2" activePane="bottomLeft" state="frozen"/>
      <selection activeCell="J1" sqref="J1"/>
      <selection pane="bottomLeft" activeCell="B33" sqref="B33"/>
    </sheetView>
  </sheetViews>
  <sheetFormatPr baseColWidth="10" defaultColWidth="9" defaultRowHeight="15"/>
  <cols>
    <col min="1" max="1" width="21.6640625" style="32" customWidth="1"/>
    <col min="2" max="2" width="26.6640625" style="32" customWidth="1"/>
    <col min="3" max="3" width="26.6640625" style="39" customWidth="1"/>
    <col min="4" max="4" width="11.6640625" style="38" customWidth="1"/>
    <col min="5" max="5" width="11.6640625" style="37" customWidth="1"/>
    <col min="6" max="6" width="10" style="37" customWidth="1"/>
    <col min="7" max="7" width="10.83203125" style="37" customWidth="1"/>
    <col min="8" max="8" width="9.1640625" style="37" customWidth="1"/>
    <col min="9" max="9" width="8.33203125" style="37" customWidth="1"/>
    <col min="10" max="10" width="9.1640625" style="37" customWidth="1"/>
    <col min="11" max="12" width="10" style="37" customWidth="1"/>
    <col min="13" max="13" width="8.33203125" style="37" customWidth="1"/>
    <col min="14" max="14" width="12.5" style="37" customWidth="1"/>
    <col min="15" max="15" width="10.83203125" style="37" customWidth="1"/>
    <col min="16" max="16" width="11.6640625" style="37" customWidth="1"/>
    <col min="17" max="17" width="13.33203125" style="43" customWidth="1"/>
    <col min="18" max="18" width="13.33203125" style="37" customWidth="1"/>
    <col min="19" max="19" width="14.1640625" style="37" customWidth="1"/>
    <col min="20" max="20" width="60.5" style="34" customWidth="1"/>
    <col min="21" max="21" width="11.1640625" style="33" customWidth="1"/>
    <col min="22" max="16384" width="9" style="32"/>
  </cols>
  <sheetData>
    <row r="1" spans="1:26" ht="20" customHeight="1" thickBot="1">
      <c r="A1" s="176" t="s">
        <v>253</v>
      </c>
      <c r="B1" s="177" t="s">
        <v>1</v>
      </c>
      <c r="C1" s="177" t="s">
        <v>2</v>
      </c>
      <c r="D1" s="177" t="s">
        <v>254</v>
      </c>
      <c r="E1" s="177" t="s">
        <v>255</v>
      </c>
      <c r="F1" s="177" t="s">
        <v>190</v>
      </c>
      <c r="G1" s="177" t="s">
        <v>191</v>
      </c>
      <c r="H1" s="177" t="s">
        <v>327</v>
      </c>
      <c r="I1" s="177" t="s">
        <v>328</v>
      </c>
      <c r="J1" s="177" t="s">
        <v>258</v>
      </c>
      <c r="K1" s="177" t="s">
        <v>259</v>
      </c>
      <c r="L1" s="177" t="s">
        <v>260</v>
      </c>
      <c r="M1" s="177" t="s">
        <v>261</v>
      </c>
      <c r="N1" s="177" t="s">
        <v>291</v>
      </c>
      <c r="O1" s="177" t="s">
        <v>329</v>
      </c>
      <c r="P1" s="178" t="s">
        <v>262</v>
      </c>
      <c r="Q1" s="177" t="s">
        <v>263</v>
      </c>
      <c r="R1" s="177" t="s">
        <v>264</v>
      </c>
      <c r="S1" s="179" t="s">
        <v>293</v>
      </c>
      <c r="T1"/>
      <c r="U1"/>
      <c r="V1"/>
      <c r="W1"/>
      <c r="X1"/>
      <c r="Y1"/>
      <c r="Z1"/>
    </row>
    <row r="2" spans="1:26" ht="22" customHeight="1">
      <c r="A2" s="237" t="s">
        <v>477</v>
      </c>
      <c r="B2" s="238"/>
      <c r="C2" s="238"/>
      <c r="D2" s="238"/>
      <c r="E2" s="238"/>
      <c r="F2" s="238"/>
      <c r="G2" s="238"/>
      <c r="H2" s="238"/>
      <c r="I2" s="238"/>
      <c r="J2" s="238"/>
      <c r="K2" s="238"/>
      <c r="L2" s="238"/>
      <c r="M2" s="238"/>
      <c r="N2" s="238"/>
      <c r="O2" s="238"/>
      <c r="P2" s="238"/>
      <c r="Q2" s="238"/>
      <c r="R2" s="238"/>
      <c r="S2" s="239"/>
      <c r="T2"/>
      <c r="U2"/>
      <c r="V2"/>
      <c r="W2"/>
      <c r="X2"/>
      <c r="Y2"/>
      <c r="Z2"/>
    </row>
    <row r="3" spans="1:26" ht="24" customHeight="1">
      <c r="A3" s="201" t="s">
        <v>192</v>
      </c>
      <c r="B3" s="155" t="s">
        <v>15</v>
      </c>
      <c r="C3" s="155" t="s">
        <v>330</v>
      </c>
      <c r="D3" s="202" t="s">
        <v>17</v>
      </c>
      <c r="E3" s="202" t="s">
        <v>31</v>
      </c>
      <c r="F3" s="202" t="s">
        <v>194</v>
      </c>
      <c r="G3" s="181">
        <v>16</v>
      </c>
      <c r="H3" s="182">
        <v>70</v>
      </c>
      <c r="I3" s="182">
        <v>70</v>
      </c>
      <c r="J3" s="182">
        <v>140</v>
      </c>
      <c r="K3" s="182">
        <v>400</v>
      </c>
      <c r="L3" s="182">
        <v>10</v>
      </c>
      <c r="M3" s="182">
        <v>70</v>
      </c>
      <c r="N3" s="183">
        <f>SUM(H3:M3)</f>
        <v>760</v>
      </c>
      <c r="O3" s="182">
        <v>950</v>
      </c>
      <c r="P3" s="110">
        <v>2800</v>
      </c>
      <c r="Q3" s="184" t="s">
        <v>151</v>
      </c>
      <c r="R3" s="185">
        <f>IFERROR(N3+IF(ISNUMBER(O3),O3,0)+IF(ISNUMBER(P3),P3,0),"")</f>
        <v>4510</v>
      </c>
      <c r="S3" s="186" t="s">
        <v>140</v>
      </c>
      <c r="T3"/>
      <c r="U3"/>
      <c r="V3"/>
      <c r="W3"/>
      <c r="X3"/>
      <c r="Y3"/>
      <c r="Z3"/>
    </row>
    <row r="4" spans="1:26" ht="24" customHeight="1">
      <c r="A4" s="201" t="s">
        <v>192</v>
      </c>
      <c r="B4" s="155" t="s">
        <v>128</v>
      </c>
      <c r="C4" s="155" t="s">
        <v>330</v>
      </c>
      <c r="D4" s="202" t="s">
        <v>17</v>
      </c>
      <c r="E4" s="202" t="s">
        <v>31</v>
      </c>
      <c r="F4" s="202" t="s">
        <v>199</v>
      </c>
      <c r="G4" s="181">
        <v>4</v>
      </c>
      <c r="H4" s="182">
        <v>70</v>
      </c>
      <c r="I4" s="182">
        <v>70</v>
      </c>
      <c r="J4" s="182">
        <v>170</v>
      </c>
      <c r="K4" s="182">
        <v>250</v>
      </c>
      <c r="L4" s="182">
        <v>50</v>
      </c>
      <c r="M4" s="182">
        <v>50</v>
      </c>
      <c r="N4" s="183">
        <f>SUM(H4:M4)</f>
        <v>660</v>
      </c>
      <c r="O4" s="182">
        <v>950</v>
      </c>
      <c r="P4" s="110">
        <v>4600</v>
      </c>
      <c r="Q4" s="184" t="s">
        <v>152</v>
      </c>
      <c r="R4" s="185">
        <f>IFERROR(N4+IF(ISNUMBER(O4),O4,0)+IF(ISNUMBER(P4),P4,0),"")</f>
        <v>6210</v>
      </c>
      <c r="S4" s="186" t="s">
        <v>140</v>
      </c>
      <c r="T4"/>
      <c r="U4"/>
      <c r="V4"/>
      <c r="W4"/>
      <c r="X4"/>
      <c r="Y4"/>
      <c r="Z4"/>
    </row>
    <row r="5" spans="1:26" ht="22" customHeight="1">
      <c r="A5" s="240" t="s">
        <v>504</v>
      </c>
      <c r="B5" s="241"/>
      <c r="C5" s="241"/>
      <c r="D5" s="241"/>
      <c r="E5" s="241"/>
      <c r="F5" s="241"/>
      <c r="G5" s="241"/>
      <c r="H5" s="241"/>
      <c r="I5" s="241"/>
      <c r="J5" s="241"/>
      <c r="K5" s="241"/>
      <c r="L5" s="241"/>
      <c r="M5" s="241"/>
      <c r="N5" s="241"/>
      <c r="O5" s="241"/>
      <c r="P5" s="241"/>
      <c r="Q5" s="241"/>
      <c r="R5" s="241"/>
      <c r="S5" s="242"/>
      <c r="T5"/>
      <c r="U5"/>
      <c r="V5"/>
      <c r="W5"/>
      <c r="X5"/>
      <c r="Y5"/>
      <c r="Z5"/>
    </row>
    <row r="6" spans="1:26" ht="24" customHeight="1">
      <c r="A6" s="146" t="s">
        <v>331</v>
      </c>
      <c r="B6" s="81" t="s">
        <v>40</v>
      </c>
      <c r="C6" s="81" t="s">
        <v>229</v>
      </c>
      <c r="D6" s="147" t="s">
        <v>39</v>
      </c>
      <c r="E6" s="147" t="s">
        <v>332</v>
      </c>
      <c r="F6" s="147" t="s">
        <v>230</v>
      </c>
      <c r="G6" s="111">
        <v>9</v>
      </c>
      <c r="H6" s="112">
        <v>70</v>
      </c>
      <c r="I6" s="112">
        <v>50</v>
      </c>
      <c r="J6" s="112">
        <v>260</v>
      </c>
      <c r="K6" s="112">
        <v>250</v>
      </c>
      <c r="L6" s="112">
        <v>90</v>
      </c>
      <c r="M6" s="112">
        <v>80</v>
      </c>
      <c r="N6" s="113">
        <f t="shared" ref="N6:N21" si="0">SUM(H6:M6)</f>
        <v>800</v>
      </c>
      <c r="O6" s="112" t="s">
        <v>169</v>
      </c>
      <c r="P6" s="110">
        <v>2048</v>
      </c>
      <c r="Q6" s="114" t="s">
        <v>265</v>
      </c>
      <c r="R6" s="115">
        <f t="shared" ref="R6:R21" si="1">IFERROR(N6+IF(ISNUMBER(O6),O6,0)+IF(ISNUMBER(P6),P6,0),"")</f>
        <v>2848</v>
      </c>
      <c r="S6" s="137" t="s">
        <v>142</v>
      </c>
      <c r="T6"/>
      <c r="U6"/>
      <c r="V6"/>
      <c r="W6"/>
      <c r="X6"/>
      <c r="Y6"/>
      <c r="Z6"/>
    </row>
    <row r="7" spans="1:26" ht="24" customHeight="1">
      <c r="A7" s="146" t="s">
        <v>231</v>
      </c>
      <c r="B7" s="81" t="s">
        <v>232</v>
      </c>
      <c r="C7" s="81" t="s">
        <v>233</v>
      </c>
      <c r="D7" s="147" t="s">
        <v>56</v>
      </c>
      <c r="E7" s="147" t="s">
        <v>332</v>
      </c>
      <c r="F7" s="147" t="s">
        <v>230</v>
      </c>
      <c r="G7" s="111">
        <v>2</v>
      </c>
      <c r="H7" s="112">
        <v>70</v>
      </c>
      <c r="I7" s="112">
        <v>50</v>
      </c>
      <c r="J7" s="112">
        <v>260</v>
      </c>
      <c r="K7" s="112">
        <v>325</v>
      </c>
      <c r="L7" s="112">
        <v>90</v>
      </c>
      <c r="M7" s="112">
        <v>80</v>
      </c>
      <c r="N7" s="113">
        <f t="shared" si="0"/>
        <v>875</v>
      </c>
      <c r="O7" s="112" t="s">
        <v>169</v>
      </c>
      <c r="P7" s="110">
        <v>2048</v>
      </c>
      <c r="Q7" s="114"/>
      <c r="R7" s="115">
        <f t="shared" si="1"/>
        <v>2923</v>
      </c>
      <c r="S7" s="137" t="s">
        <v>142</v>
      </c>
      <c r="T7"/>
      <c r="U7"/>
      <c r="V7"/>
      <c r="W7"/>
      <c r="X7"/>
      <c r="Y7"/>
      <c r="Z7"/>
    </row>
    <row r="8" spans="1:26" ht="24" customHeight="1">
      <c r="A8" s="146" t="s">
        <v>331</v>
      </c>
      <c r="B8" s="81" t="s">
        <v>94</v>
      </c>
      <c r="C8" s="81" t="s">
        <v>235</v>
      </c>
      <c r="D8" s="147" t="s">
        <v>39</v>
      </c>
      <c r="E8" s="147" t="s">
        <v>332</v>
      </c>
      <c r="F8" s="147" t="s">
        <v>230</v>
      </c>
      <c r="G8" s="111">
        <v>1</v>
      </c>
      <c r="H8" s="112">
        <v>70</v>
      </c>
      <c r="I8" s="112">
        <v>50</v>
      </c>
      <c r="J8" s="112">
        <v>260</v>
      </c>
      <c r="K8" s="112">
        <v>250</v>
      </c>
      <c r="L8" s="112">
        <v>90</v>
      </c>
      <c r="M8" s="112">
        <v>80</v>
      </c>
      <c r="N8" s="113">
        <f t="shared" si="0"/>
        <v>800</v>
      </c>
      <c r="O8" s="112" t="s">
        <v>169</v>
      </c>
      <c r="P8" s="110">
        <v>2048</v>
      </c>
      <c r="Q8" s="114"/>
      <c r="R8" s="115">
        <f t="shared" si="1"/>
        <v>2848</v>
      </c>
      <c r="S8" s="137" t="s">
        <v>142</v>
      </c>
      <c r="T8"/>
      <c r="U8"/>
      <c r="V8"/>
      <c r="W8"/>
      <c r="X8"/>
      <c r="Y8"/>
      <c r="Z8"/>
    </row>
    <row r="9" spans="1:26" ht="24" customHeight="1">
      <c r="A9" s="146" t="s">
        <v>333</v>
      </c>
      <c r="B9" s="81" t="s">
        <v>102</v>
      </c>
      <c r="C9" s="81" t="s">
        <v>233</v>
      </c>
      <c r="D9" s="147" t="s">
        <v>29</v>
      </c>
      <c r="E9" s="147" t="s">
        <v>332</v>
      </c>
      <c r="F9" s="147" t="s">
        <v>230</v>
      </c>
      <c r="G9" s="111">
        <v>2</v>
      </c>
      <c r="H9" s="112">
        <v>70</v>
      </c>
      <c r="I9" s="112">
        <v>80</v>
      </c>
      <c r="J9" s="112">
        <v>160</v>
      </c>
      <c r="K9" s="112">
        <v>1000</v>
      </c>
      <c r="L9" s="112">
        <v>50</v>
      </c>
      <c r="M9" s="112">
        <v>75</v>
      </c>
      <c r="N9" s="113">
        <f t="shared" si="0"/>
        <v>1435</v>
      </c>
      <c r="O9" s="112" t="s">
        <v>169</v>
      </c>
      <c r="P9" s="110">
        <v>2500</v>
      </c>
      <c r="Q9" s="114" t="s">
        <v>266</v>
      </c>
      <c r="R9" s="115">
        <f t="shared" si="1"/>
        <v>3935</v>
      </c>
      <c r="S9" s="137" t="s">
        <v>302</v>
      </c>
      <c r="T9"/>
      <c r="U9"/>
      <c r="V9"/>
      <c r="W9"/>
      <c r="X9"/>
      <c r="Y9"/>
      <c r="Z9"/>
    </row>
    <row r="10" spans="1:26" ht="24" customHeight="1">
      <c r="A10" s="146" t="s">
        <v>237</v>
      </c>
      <c r="B10" s="81" t="s">
        <v>103</v>
      </c>
      <c r="C10" s="81" t="s">
        <v>233</v>
      </c>
      <c r="D10" s="147" t="s">
        <v>334</v>
      </c>
      <c r="E10" s="147" t="s">
        <v>332</v>
      </c>
      <c r="F10" s="147" t="s">
        <v>230</v>
      </c>
      <c r="G10" s="111">
        <v>1</v>
      </c>
      <c r="H10" s="112">
        <v>70</v>
      </c>
      <c r="I10" s="112">
        <v>35</v>
      </c>
      <c r="J10" s="112">
        <v>145</v>
      </c>
      <c r="K10" s="112">
        <v>350</v>
      </c>
      <c r="L10" s="112">
        <v>150</v>
      </c>
      <c r="M10" s="112">
        <v>50</v>
      </c>
      <c r="N10" s="113">
        <f t="shared" si="0"/>
        <v>800</v>
      </c>
      <c r="O10" s="112" t="s">
        <v>169</v>
      </c>
      <c r="P10" s="110">
        <v>2350</v>
      </c>
      <c r="Q10" s="114" t="s">
        <v>267</v>
      </c>
      <c r="R10" s="115">
        <f t="shared" si="1"/>
        <v>3150</v>
      </c>
      <c r="S10" s="137" t="s">
        <v>302</v>
      </c>
      <c r="T10"/>
      <c r="U10"/>
      <c r="V10"/>
      <c r="W10"/>
      <c r="X10"/>
      <c r="Y10"/>
      <c r="Z10"/>
    </row>
    <row r="11" spans="1:26" s="46" customFormat="1" ht="24" customHeight="1">
      <c r="A11" s="146" t="s">
        <v>335</v>
      </c>
      <c r="B11" s="81" t="s">
        <v>82</v>
      </c>
      <c r="C11" s="81" t="s">
        <v>235</v>
      </c>
      <c r="D11" s="147" t="s">
        <v>17</v>
      </c>
      <c r="E11" s="147" t="s">
        <v>332</v>
      </c>
      <c r="F11" s="147" t="s">
        <v>239</v>
      </c>
      <c r="G11" s="111">
        <v>2</v>
      </c>
      <c r="H11" s="112">
        <v>70</v>
      </c>
      <c r="I11" s="112">
        <v>70</v>
      </c>
      <c r="J11" s="112">
        <v>145</v>
      </c>
      <c r="K11" s="112">
        <v>550</v>
      </c>
      <c r="L11" s="112">
        <v>15</v>
      </c>
      <c r="M11" s="112">
        <v>60</v>
      </c>
      <c r="N11" s="113">
        <f t="shared" si="0"/>
        <v>910</v>
      </c>
      <c r="O11" s="112" t="s">
        <v>169</v>
      </c>
      <c r="P11" s="110">
        <v>1749</v>
      </c>
      <c r="Q11" s="114" t="s">
        <v>219</v>
      </c>
      <c r="R11" s="115">
        <f t="shared" si="1"/>
        <v>2659</v>
      </c>
      <c r="S11" s="137" t="s">
        <v>141</v>
      </c>
      <c r="T11"/>
      <c r="U11"/>
      <c r="V11"/>
      <c r="W11"/>
      <c r="X11"/>
      <c r="Y11"/>
      <c r="Z11"/>
    </row>
    <row r="12" spans="1:26" ht="24" customHeight="1">
      <c r="A12" s="146" t="s">
        <v>335</v>
      </c>
      <c r="B12" s="81" t="s">
        <v>83</v>
      </c>
      <c r="C12" s="81" t="s">
        <v>235</v>
      </c>
      <c r="D12" s="147" t="s">
        <v>17</v>
      </c>
      <c r="E12" s="147" t="s">
        <v>332</v>
      </c>
      <c r="F12" s="147" t="s">
        <v>230</v>
      </c>
      <c r="G12" s="111">
        <v>1</v>
      </c>
      <c r="H12" s="112">
        <v>70</v>
      </c>
      <c r="I12" s="112">
        <v>70</v>
      </c>
      <c r="J12" s="112">
        <v>145</v>
      </c>
      <c r="K12" s="112">
        <v>550</v>
      </c>
      <c r="L12" s="112">
        <v>15</v>
      </c>
      <c r="M12" s="112">
        <v>60</v>
      </c>
      <c r="N12" s="113">
        <f t="shared" si="0"/>
        <v>910</v>
      </c>
      <c r="O12" s="112" t="s">
        <v>169</v>
      </c>
      <c r="P12" s="110">
        <v>1749</v>
      </c>
      <c r="Q12" s="114"/>
      <c r="R12" s="115">
        <f t="shared" si="1"/>
        <v>2659</v>
      </c>
      <c r="S12" s="137" t="s">
        <v>141</v>
      </c>
      <c r="T12"/>
      <c r="U12"/>
      <c r="V12"/>
      <c r="W12"/>
      <c r="X12"/>
      <c r="Y12"/>
      <c r="Z12"/>
    </row>
    <row r="13" spans="1:26" ht="24" customHeight="1">
      <c r="A13" s="146" t="s">
        <v>335</v>
      </c>
      <c r="B13" s="81" t="s">
        <v>84</v>
      </c>
      <c r="C13" s="81" t="s">
        <v>235</v>
      </c>
      <c r="D13" s="147" t="s">
        <v>17</v>
      </c>
      <c r="E13" s="147" t="s">
        <v>332</v>
      </c>
      <c r="F13" s="147" t="s">
        <v>230</v>
      </c>
      <c r="G13" s="111">
        <v>0.5</v>
      </c>
      <c r="H13" s="112">
        <v>70</v>
      </c>
      <c r="I13" s="112">
        <v>70</v>
      </c>
      <c r="J13" s="112">
        <v>145</v>
      </c>
      <c r="K13" s="112">
        <v>550</v>
      </c>
      <c r="L13" s="112">
        <v>15</v>
      </c>
      <c r="M13" s="112">
        <v>60</v>
      </c>
      <c r="N13" s="113">
        <f t="shared" si="0"/>
        <v>910</v>
      </c>
      <c r="O13" s="112" t="s">
        <v>169</v>
      </c>
      <c r="P13" s="110">
        <v>1749</v>
      </c>
      <c r="Q13" s="114"/>
      <c r="R13" s="115">
        <f t="shared" si="1"/>
        <v>2659</v>
      </c>
      <c r="S13" s="137" t="s">
        <v>141</v>
      </c>
      <c r="T13"/>
      <c r="U13"/>
      <c r="V13"/>
      <c r="W13"/>
      <c r="X13"/>
      <c r="Y13"/>
      <c r="Z13"/>
    </row>
    <row r="14" spans="1:26" ht="24" customHeight="1">
      <c r="A14" s="146" t="s">
        <v>335</v>
      </c>
      <c r="B14" s="81" t="s">
        <v>85</v>
      </c>
      <c r="C14" s="81" t="s">
        <v>235</v>
      </c>
      <c r="D14" s="147" t="s">
        <v>17</v>
      </c>
      <c r="E14" s="147" t="s">
        <v>332</v>
      </c>
      <c r="F14" s="147" t="s">
        <v>230</v>
      </c>
      <c r="G14" s="111">
        <v>2</v>
      </c>
      <c r="H14" s="112">
        <v>70</v>
      </c>
      <c r="I14" s="112">
        <v>70</v>
      </c>
      <c r="J14" s="112">
        <v>145</v>
      </c>
      <c r="K14" s="112">
        <v>250</v>
      </c>
      <c r="L14" s="112">
        <v>15</v>
      </c>
      <c r="M14" s="112">
        <v>60</v>
      </c>
      <c r="N14" s="113">
        <f t="shared" si="0"/>
        <v>610</v>
      </c>
      <c r="O14" s="112" t="s">
        <v>169</v>
      </c>
      <c r="P14" s="110">
        <v>1749</v>
      </c>
      <c r="Q14" s="114"/>
      <c r="R14" s="115">
        <f t="shared" si="1"/>
        <v>2359</v>
      </c>
      <c r="S14" s="137" t="s">
        <v>141</v>
      </c>
      <c r="T14"/>
      <c r="U14"/>
      <c r="V14"/>
      <c r="W14"/>
      <c r="X14"/>
      <c r="Y14"/>
      <c r="Z14"/>
    </row>
    <row r="15" spans="1:26" ht="24" customHeight="1">
      <c r="A15" s="146" t="s">
        <v>335</v>
      </c>
      <c r="B15" s="81" t="s">
        <v>86</v>
      </c>
      <c r="C15" s="81" t="s">
        <v>235</v>
      </c>
      <c r="D15" s="147" t="s">
        <v>17</v>
      </c>
      <c r="E15" s="147" t="s">
        <v>332</v>
      </c>
      <c r="F15" s="147" t="s">
        <v>230</v>
      </c>
      <c r="G15" s="111">
        <v>2</v>
      </c>
      <c r="H15" s="112">
        <v>70</v>
      </c>
      <c r="I15" s="112">
        <v>70</v>
      </c>
      <c r="J15" s="112">
        <v>145</v>
      </c>
      <c r="K15" s="112">
        <v>200</v>
      </c>
      <c r="L15" s="112">
        <v>15</v>
      </c>
      <c r="M15" s="112">
        <v>50</v>
      </c>
      <c r="N15" s="113">
        <f t="shared" si="0"/>
        <v>550</v>
      </c>
      <c r="O15" s="112" t="s">
        <v>169</v>
      </c>
      <c r="P15" s="110">
        <v>1749</v>
      </c>
      <c r="Q15" s="114"/>
      <c r="R15" s="115">
        <f t="shared" si="1"/>
        <v>2299</v>
      </c>
      <c r="S15" s="137" t="s">
        <v>141</v>
      </c>
      <c r="T15"/>
      <c r="U15"/>
      <c r="V15"/>
      <c r="W15"/>
      <c r="X15"/>
      <c r="Y15"/>
      <c r="Z15"/>
    </row>
    <row r="16" spans="1:26" ht="24" customHeight="1">
      <c r="A16" s="146" t="s">
        <v>335</v>
      </c>
      <c r="B16" s="81" t="s">
        <v>87</v>
      </c>
      <c r="C16" s="81" t="s">
        <v>235</v>
      </c>
      <c r="D16" s="147" t="s">
        <v>17</v>
      </c>
      <c r="E16" s="147" t="s">
        <v>332</v>
      </c>
      <c r="F16" s="147" t="s">
        <v>230</v>
      </c>
      <c r="G16" s="111">
        <v>0.5</v>
      </c>
      <c r="H16" s="112">
        <v>70</v>
      </c>
      <c r="I16" s="112">
        <v>70</v>
      </c>
      <c r="J16" s="112">
        <v>145</v>
      </c>
      <c r="K16" s="112">
        <v>1550</v>
      </c>
      <c r="L16" s="112">
        <v>15</v>
      </c>
      <c r="M16" s="112">
        <v>60</v>
      </c>
      <c r="N16" s="113">
        <f t="shared" si="0"/>
        <v>1910</v>
      </c>
      <c r="O16" s="112" t="s">
        <v>169</v>
      </c>
      <c r="P16" s="110">
        <v>1749</v>
      </c>
      <c r="Q16" s="114"/>
      <c r="R16" s="115">
        <f t="shared" si="1"/>
        <v>3659</v>
      </c>
      <c r="S16" s="137" t="s">
        <v>141</v>
      </c>
      <c r="T16"/>
      <c r="U16"/>
      <c r="V16"/>
      <c r="W16"/>
      <c r="X16"/>
      <c r="Y16"/>
      <c r="Z16"/>
    </row>
    <row r="17" spans="1:26" ht="24" customHeight="1">
      <c r="A17" s="146" t="s">
        <v>335</v>
      </c>
      <c r="B17" s="81" t="s">
        <v>97</v>
      </c>
      <c r="C17" s="81" t="s">
        <v>233</v>
      </c>
      <c r="D17" s="147" t="s">
        <v>17</v>
      </c>
      <c r="E17" s="147" t="s">
        <v>332</v>
      </c>
      <c r="F17" s="147" t="s">
        <v>230</v>
      </c>
      <c r="G17" s="111">
        <v>2</v>
      </c>
      <c r="H17" s="112">
        <v>70</v>
      </c>
      <c r="I17" s="112">
        <v>70</v>
      </c>
      <c r="J17" s="112">
        <v>145</v>
      </c>
      <c r="K17" s="112">
        <v>350</v>
      </c>
      <c r="L17" s="112">
        <v>15</v>
      </c>
      <c r="M17" s="112">
        <v>60</v>
      </c>
      <c r="N17" s="113">
        <f t="shared" si="0"/>
        <v>710</v>
      </c>
      <c r="O17" s="112" t="s">
        <v>169</v>
      </c>
      <c r="P17" s="110">
        <v>1749</v>
      </c>
      <c r="Q17" s="114"/>
      <c r="R17" s="115">
        <f t="shared" si="1"/>
        <v>2459</v>
      </c>
      <c r="S17" s="137" t="s">
        <v>141</v>
      </c>
      <c r="T17"/>
      <c r="U17"/>
      <c r="V17"/>
      <c r="W17"/>
      <c r="X17"/>
      <c r="Y17"/>
      <c r="Z17"/>
    </row>
    <row r="18" spans="1:26" ht="24" customHeight="1">
      <c r="A18" s="146" t="s">
        <v>335</v>
      </c>
      <c r="B18" s="81" t="s">
        <v>98</v>
      </c>
      <c r="C18" s="81" t="s">
        <v>233</v>
      </c>
      <c r="D18" s="147" t="s">
        <v>17</v>
      </c>
      <c r="E18" s="147" t="s">
        <v>332</v>
      </c>
      <c r="F18" s="147" t="s">
        <v>239</v>
      </c>
      <c r="G18" s="111">
        <v>1</v>
      </c>
      <c r="H18" s="112">
        <v>70</v>
      </c>
      <c r="I18" s="112">
        <v>70</v>
      </c>
      <c r="J18" s="112">
        <v>145</v>
      </c>
      <c r="K18" s="112">
        <v>50</v>
      </c>
      <c r="L18" s="112">
        <v>15</v>
      </c>
      <c r="M18" s="112">
        <v>60</v>
      </c>
      <c r="N18" s="113">
        <f t="shared" si="0"/>
        <v>410</v>
      </c>
      <c r="O18" s="112" t="s">
        <v>169</v>
      </c>
      <c r="P18" s="110">
        <v>1749</v>
      </c>
      <c r="Q18" s="114"/>
      <c r="R18" s="115">
        <f t="shared" si="1"/>
        <v>2159</v>
      </c>
      <c r="S18" s="137" t="s">
        <v>141</v>
      </c>
      <c r="T18"/>
      <c r="U18"/>
      <c r="V18"/>
      <c r="W18"/>
      <c r="X18"/>
      <c r="Y18"/>
      <c r="Z18"/>
    </row>
    <row r="19" spans="1:26" ht="24" customHeight="1">
      <c r="A19" s="146" t="s">
        <v>335</v>
      </c>
      <c r="B19" s="81" t="s">
        <v>250</v>
      </c>
      <c r="C19" s="81" t="s">
        <v>235</v>
      </c>
      <c r="D19" s="147" t="s">
        <v>17</v>
      </c>
      <c r="E19" s="147" t="s">
        <v>332</v>
      </c>
      <c r="F19" s="147" t="s">
        <v>230</v>
      </c>
      <c r="G19" s="111">
        <v>1</v>
      </c>
      <c r="H19" s="112">
        <v>70</v>
      </c>
      <c r="I19" s="112">
        <v>70</v>
      </c>
      <c r="J19" s="112">
        <v>145</v>
      </c>
      <c r="K19" s="112">
        <v>550</v>
      </c>
      <c r="L19" s="112">
        <v>15</v>
      </c>
      <c r="M19" s="112">
        <v>60</v>
      </c>
      <c r="N19" s="113">
        <f t="shared" si="0"/>
        <v>910</v>
      </c>
      <c r="O19" s="112" t="s">
        <v>169</v>
      </c>
      <c r="P19" s="110">
        <v>1749</v>
      </c>
      <c r="Q19" s="114"/>
      <c r="R19" s="115">
        <f t="shared" si="1"/>
        <v>2659</v>
      </c>
      <c r="S19" s="137" t="s">
        <v>141</v>
      </c>
      <c r="T19"/>
      <c r="U19"/>
      <c r="V19"/>
      <c r="W19"/>
      <c r="X19"/>
      <c r="Y19"/>
      <c r="Z19"/>
    </row>
    <row r="20" spans="1:26" ht="24" customHeight="1">
      <c r="A20" s="146" t="s">
        <v>335</v>
      </c>
      <c r="B20" s="81" t="s">
        <v>99</v>
      </c>
      <c r="C20" s="81" t="s">
        <v>233</v>
      </c>
      <c r="D20" s="147" t="s">
        <v>17</v>
      </c>
      <c r="E20" s="147" t="s">
        <v>332</v>
      </c>
      <c r="F20" s="147" t="s">
        <v>230</v>
      </c>
      <c r="G20" s="111">
        <v>2</v>
      </c>
      <c r="H20" s="112">
        <v>70</v>
      </c>
      <c r="I20" s="112">
        <v>70</v>
      </c>
      <c r="J20" s="112">
        <v>145</v>
      </c>
      <c r="K20" s="112">
        <v>550</v>
      </c>
      <c r="L20" s="112">
        <v>15</v>
      </c>
      <c r="M20" s="112">
        <v>60</v>
      </c>
      <c r="N20" s="113">
        <f t="shared" si="0"/>
        <v>910</v>
      </c>
      <c r="O20" s="112" t="s">
        <v>169</v>
      </c>
      <c r="P20" s="110">
        <v>1749</v>
      </c>
      <c r="Q20" s="114"/>
      <c r="R20" s="115">
        <f t="shared" si="1"/>
        <v>2659</v>
      </c>
      <c r="S20" s="137" t="s">
        <v>141</v>
      </c>
      <c r="T20"/>
      <c r="U20"/>
      <c r="V20"/>
      <c r="W20"/>
      <c r="X20"/>
      <c r="Y20"/>
      <c r="Z20"/>
    </row>
    <row r="21" spans="1:26" ht="24" customHeight="1">
      <c r="A21" s="146" t="s">
        <v>335</v>
      </c>
      <c r="B21" s="81" t="s">
        <v>100</v>
      </c>
      <c r="C21" s="81" t="s">
        <v>233</v>
      </c>
      <c r="D21" s="147" t="s">
        <v>17</v>
      </c>
      <c r="E21" s="147" t="s">
        <v>332</v>
      </c>
      <c r="F21" s="147" t="s">
        <v>230</v>
      </c>
      <c r="G21" s="111">
        <v>2</v>
      </c>
      <c r="H21" s="112">
        <v>70</v>
      </c>
      <c r="I21" s="112">
        <v>70</v>
      </c>
      <c r="J21" s="112">
        <v>145</v>
      </c>
      <c r="K21" s="112">
        <v>1500</v>
      </c>
      <c r="L21" s="112">
        <v>15</v>
      </c>
      <c r="M21" s="112">
        <v>60</v>
      </c>
      <c r="N21" s="113">
        <f t="shared" si="0"/>
        <v>1860</v>
      </c>
      <c r="O21" s="112" t="s">
        <v>169</v>
      </c>
      <c r="P21" s="110">
        <v>1749</v>
      </c>
      <c r="Q21" s="114"/>
      <c r="R21" s="115">
        <f t="shared" si="1"/>
        <v>3609</v>
      </c>
      <c r="S21" s="137" t="s">
        <v>141</v>
      </c>
      <c r="T21"/>
      <c r="U21"/>
      <c r="V21"/>
      <c r="W21"/>
      <c r="X21"/>
      <c r="Y21"/>
      <c r="Z21"/>
    </row>
    <row r="22" spans="1:26" ht="22" customHeight="1">
      <c r="A22" s="243" t="s">
        <v>503</v>
      </c>
      <c r="B22" s="244"/>
      <c r="C22" s="244"/>
      <c r="D22" s="244"/>
      <c r="E22" s="244"/>
      <c r="F22" s="244"/>
      <c r="G22" s="244"/>
      <c r="H22" s="244"/>
      <c r="I22" s="244"/>
      <c r="J22" s="244"/>
      <c r="K22" s="244"/>
      <c r="L22" s="244"/>
      <c r="M22" s="244"/>
      <c r="N22" s="244"/>
      <c r="O22" s="244"/>
      <c r="P22" s="244"/>
      <c r="Q22" s="244"/>
      <c r="R22" s="244"/>
      <c r="S22" s="245"/>
      <c r="T22"/>
      <c r="U22"/>
      <c r="V22"/>
      <c r="W22"/>
      <c r="X22"/>
      <c r="Y22"/>
      <c r="Z22"/>
    </row>
    <row r="23" spans="1:26" ht="24" customHeight="1">
      <c r="A23" s="148" t="s">
        <v>201</v>
      </c>
      <c r="B23" s="82" t="s">
        <v>15</v>
      </c>
      <c r="C23" s="82" t="s">
        <v>336</v>
      </c>
      <c r="D23" s="149" t="s">
        <v>17</v>
      </c>
      <c r="E23" s="149" t="s">
        <v>18</v>
      </c>
      <c r="F23" s="149" t="s">
        <v>199</v>
      </c>
      <c r="G23" s="116">
        <v>2</v>
      </c>
      <c r="H23" s="117">
        <v>70</v>
      </c>
      <c r="I23" s="117">
        <v>70</v>
      </c>
      <c r="J23" s="117">
        <v>140</v>
      </c>
      <c r="K23" s="117">
        <v>400</v>
      </c>
      <c r="L23" s="117">
        <v>10</v>
      </c>
      <c r="M23" s="117">
        <v>70</v>
      </c>
      <c r="N23" s="118">
        <f>SUM(H23:M23)</f>
        <v>760</v>
      </c>
      <c r="O23" s="117">
        <v>2685</v>
      </c>
      <c r="P23" s="110">
        <v>2600</v>
      </c>
      <c r="Q23" s="119" t="s">
        <v>151</v>
      </c>
      <c r="R23" s="120">
        <f>IFERROR(N23+IF(ISNUMBER(O23),O23,0)+IF(ISNUMBER(P23),P23,0),"")</f>
        <v>6045</v>
      </c>
      <c r="S23" s="138" t="s">
        <v>302</v>
      </c>
      <c r="T23"/>
      <c r="U23"/>
      <c r="V23"/>
      <c r="W23"/>
      <c r="X23"/>
      <c r="Y23"/>
      <c r="Z23"/>
    </row>
    <row r="24" spans="1:26" ht="24" customHeight="1">
      <c r="A24" s="148" t="s">
        <v>204</v>
      </c>
      <c r="B24" s="82" t="s">
        <v>337</v>
      </c>
      <c r="C24" s="82" t="s">
        <v>338</v>
      </c>
      <c r="D24" s="149" t="s">
        <v>17</v>
      </c>
      <c r="E24" s="149" t="s">
        <v>23</v>
      </c>
      <c r="F24" s="149" t="s">
        <v>199</v>
      </c>
      <c r="G24" s="116">
        <v>1</v>
      </c>
      <c r="H24" s="117">
        <v>70</v>
      </c>
      <c r="I24" s="117">
        <v>70</v>
      </c>
      <c r="J24" s="117">
        <v>140</v>
      </c>
      <c r="K24" s="117">
        <v>250</v>
      </c>
      <c r="L24" s="117">
        <v>10</v>
      </c>
      <c r="M24" s="117">
        <v>70</v>
      </c>
      <c r="N24" s="118">
        <f>SUM(H24:M24)</f>
        <v>610</v>
      </c>
      <c r="O24" s="117">
        <v>885</v>
      </c>
      <c r="P24" s="110">
        <v>4050</v>
      </c>
      <c r="Q24" s="119"/>
      <c r="R24" s="120">
        <f>IFERROR(N24+IF(ISNUMBER(O24),O24,0)+IF(ISNUMBER(P24),P24,0),"")</f>
        <v>5545</v>
      </c>
      <c r="S24" s="138" t="s">
        <v>302</v>
      </c>
      <c r="T24"/>
      <c r="U24"/>
      <c r="V24"/>
      <c r="W24"/>
      <c r="X24"/>
      <c r="Y24"/>
      <c r="Z24"/>
    </row>
    <row r="25" spans="1:26" ht="24" customHeight="1">
      <c r="A25" s="148" t="s">
        <v>339</v>
      </c>
      <c r="B25" s="82" t="s">
        <v>24</v>
      </c>
      <c r="C25" s="82" t="s">
        <v>340</v>
      </c>
      <c r="D25" s="149" t="s">
        <v>26</v>
      </c>
      <c r="E25" s="149" t="s">
        <v>27</v>
      </c>
      <c r="F25" s="149" t="s">
        <v>194</v>
      </c>
      <c r="G25" s="116">
        <v>3</v>
      </c>
      <c r="H25" s="117">
        <v>70</v>
      </c>
      <c r="I25" s="117">
        <v>70</v>
      </c>
      <c r="J25" s="117">
        <v>140</v>
      </c>
      <c r="K25" s="117">
        <v>300</v>
      </c>
      <c r="L25" s="117">
        <v>30</v>
      </c>
      <c r="M25" s="117">
        <v>70</v>
      </c>
      <c r="N25" s="118">
        <f>SUM(H25:M25)</f>
        <v>680</v>
      </c>
      <c r="O25" s="117">
        <v>2785</v>
      </c>
      <c r="P25" s="110">
        <v>1900</v>
      </c>
      <c r="Q25" s="119" t="s">
        <v>151</v>
      </c>
      <c r="R25" s="120">
        <f>IFERROR(N25+IF(ISNUMBER(O25),O25,0)+IF(ISNUMBER(P25),P25,0),"")</f>
        <v>5365</v>
      </c>
      <c r="S25" s="138" t="s">
        <v>302</v>
      </c>
      <c r="T25"/>
      <c r="U25"/>
      <c r="V25"/>
      <c r="W25"/>
      <c r="X25"/>
      <c r="Y25"/>
      <c r="Z25"/>
    </row>
    <row r="26" spans="1:26" ht="24" customHeight="1">
      <c r="A26" s="148" t="s">
        <v>341</v>
      </c>
      <c r="B26" s="82" t="s">
        <v>28</v>
      </c>
      <c r="C26" s="82" t="s">
        <v>340</v>
      </c>
      <c r="D26" s="149" t="s">
        <v>29</v>
      </c>
      <c r="E26" s="149" t="s">
        <v>27</v>
      </c>
      <c r="F26" s="149" t="s">
        <v>194</v>
      </c>
      <c r="G26" s="116">
        <v>3</v>
      </c>
      <c r="H26" s="117">
        <v>70</v>
      </c>
      <c r="I26" s="117">
        <v>80</v>
      </c>
      <c r="J26" s="117">
        <v>160</v>
      </c>
      <c r="K26" s="117">
        <v>1000</v>
      </c>
      <c r="L26" s="117">
        <v>50</v>
      </c>
      <c r="M26" s="117">
        <v>75</v>
      </c>
      <c r="N26" s="118">
        <f>SUM(H26:M26)</f>
        <v>1435</v>
      </c>
      <c r="O26" s="117">
        <v>2785</v>
      </c>
      <c r="P26" s="110">
        <v>1750</v>
      </c>
      <c r="Q26" s="119" t="s">
        <v>208</v>
      </c>
      <c r="R26" s="120">
        <f>IFERROR(N26+IF(ISNUMBER(O26),O26,0)+IF(ISNUMBER(P26),P26,0),"")</f>
        <v>5970</v>
      </c>
      <c r="S26" s="138" t="s">
        <v>302</v>
      </c>
      <c r="T26"/>
      <c r="U26"/>
      <c r="V26"/>
      <c r="W26"/>
      <c r="X26"/>
      <c r="Y26"/>
      <c r="Z26"/>
    </row>
    <row r="27" spans="1:26" ht="24" customHeight="1">
      <c r="A27" s="148" t="s">
        <v>209</v>
      </c>
      <c r="B27" s="82" t="s">
        <v>15</v>
      </c>
      <c r="C27" s="82" t="s">
        <v>340</v>
      </c>
      <c r="D27" s="149" t="s">
        <v>17</v>
      </c>
      <c r="E27" s="149" t="s">
        <v>27</v>
      </c>
      <c r="F27" s="149" t="s">
        <v>194</v>
      </c>
      <c r="G27" s="116">
        <v>3</v>
      </c>
      <c r="H27" s="117">
        <v>70</v>
      </c>
      <c r="I27" s="117">
        <v>70</v>
      </c>
      <c r="J27" s="117">
        <v>140</v>
      </c>
      <c r="K27" s="117">
        <v>400</v>
      </c>
      <c r="L27" s="117">
        <v>10</v>
      </c>
      <c r="M27" s="117">
        <v>70</v>
      </c>
      <c r="N27" s="118">
        <f>SUM(H27:M27)</f>
        <v>760</v>
      </c>
      <c r="O27" s="117">
        <v>2785</v>
      </c>
      <c r="P27" s="110">
        <v>1300</v>
      </c>
      <c r="Q27" s="119" t="s">
        <v>210</v>
      </c>
      <c r="R27" s="120">
        <f>IFERROR(N27+IF(ISNUMBER(O27),O27,0)+IF(ISNUMBER(P27),P27,0),"")</f>
        <v>4845</v>
      </c>
      <c r="S27" s="138" t="s">
        <v>302</v>
      </c>
      <c r="T27"/>
      <c r="U27"/>
      <c r="V27"/>
      <c r="W27"/>
      <c r="X27"/>
      <c r="Y27"/>
      <c r="Z27"/>
    </row>
    <row r="28" spans="1:26" ht="22" customHeight="1">
      <c r="A28" s="246" t="s">
        <v>480</v>
      </c>
      <c r="B28" s="247"/>
      <c r="C28" s="247"/>
      <c r="D28" s="247"/>
      <c r="E28" s="247"/>
      <c r="F28" s="247"/>
      <c r="G28" s="247"/>
      <c r="H28" s="247"/>
      <c r="I28" s="247"/>
      <c r="J28" s="247"/>
      <c r="K28" s="247"/>
      <c r="L28" s="247"/>
      <c r="M28" s="247"/>
      <c r="N28" s="247"/>
      <c r="O28" s="247"/>
      <c r="P28" s="247"/>
      <c r="Q28" s="247"/>
      <c r="R28" s="247"/>
      <c r="S28" s="248"/>
      <c r="T28"/>
      <c r="U28"/>
      <c r="V28"/>
      <c r="W28"/>
      <c r="X28"/>
      <c r="Y28"/>
      <c r="Z28"/>
    </row>
    <row r="29" spans="1:26" ht="24" customHeight="1">
      <c r="A29" s="203" t="s">
        <v>225</v>
      </c>
      <c r="B29" s="163" t="s">
        <v>342</v>
      </c>
      <c r="C29" s="163" t="s">
        <v>15</v>
      </c>
      <c r="D29" s="204" t="s">
        <v>56</v>
      </c>
      <c r="E29" s="204" t="s">
        <v>17</v>
      </c>
      <c r="F29" s="204" t="s">
        <v>199</v>
      </c>
      <c r="G29" s="187">
        <v>2</v>
      </c>
      <c r="H29" s="188">
        <v>70</v>
      </c>
      <c r="I29" s="188">
        <v>50</v>
      </c>
      <c r="J29" s="188">
        <v>260</v>
      </c>
      <c r="K29" s="188">
        <v>325</v>
      </c>
      <c r="L29" s="188">
        <v>90</v>
      </c>
      <c r="M29" s="188">
        <v>80</v>
      </c>
      <c r="N29" s="189">
        <f>SUM(H29:M29)</f>
        <v>875</v>
      </c>
      <c r="O29" s="188">
        <v>600</v>
      </c>
      <c r="P29" s="110">
        <v>1</v>
      </c>
      <c r="Q29" s="190" t="s">
        <v>155</v>
      </c>
      <c r="R29" s="191">
        <f>IFERROR(N29+IF(ISNUMBER(O29),O29,0)+IF(ISNUMBER(P29),P29,0),"")</f>
        <v>1476</v>
      </c>
      <c r="S29" s="192" t="s">
        <v>131</v>
      </c>
      <c r="T29"/>
      <c r="U29"/>
      <c r="V29"/>
      <c r="W29"/>
      <c r="X29"/>
      <c r="Y29"/>
      <c r="Z29"/>
    </row>
    <row r="30" spans="1:26" ht="24" customHeight="1">
      <c r="A30" s="203" t="s">
        <v>226</v>
      </c>
      <c r="B30" s="163" t="s">
        <v>343</v>
      </c>
      <c r="C30" s="163" t="s">
        <v>15</v>
      </c>
      <c r="D30" s="204" t="s">
        <v>334</v>
      </c>
      <c r="E30" s="204" t="s">
        <v>17</v>
      </c>
      <c r="F30" s="204" t="s">
        <v>199</v>
      </c>
      <c r="G30" s="187">
        <v>1</v>
      </c>
      <c r="H30" s="188">
        <v>70</v>
      </c>
      <c r="I30" s="188">
        <v>35</v>
      </c>
      <c r="J30" s="188">
        <v>145</v>
      </c>
      <c r="K30" s="188">
        <v>350</v>
      </c>
      <c r="L30" s="188">
        <v>150</v>
      </c>
      <c r="M30" s="188">
        <v>50</v>
      </c>
      <c r="N30" s="189">
        <f>SUM(H30:M30)</f>
        <v>800</v>
      </c>
      <c r="O30" s="188">
        <v>600</v>
      </c>
      <c r="P30" s="110">
        <v>1</v>
      </c>
      <c r="Q30" s="190" t="s">
        <v>156</v>
      </c>
      <c r="R30" s="191">
        <f>IFERROR(N30+IF(ISNUMBER(O30),O30,0)+IF(ISNUMBER(P30),P30,0),"")</f>
        <v>1401</v>
      </c>
      <c r="S30" s="192" t="s">
        <v>131</v>
      </c>
      <c r="T30"/>
      <c r="U30"/>
      <c r="V30"/>
      <c r="W30"/>
      <c r="X30"/>
      <c r="Y30"/>
      <c r="Z30"/>
    </row>
    <row r="31" spans="1:26" ht="22" customHeight="1">
      <c r="A31" s="249" t="s">
        <v>481</v>
      </c>
      <c r="B31" s="250"/>
      <c r="C31" s="250"/>
      <c r="D31" s="250"/>
      <c r="E31" s="250"/>
      <c r="F31" s="250"/>
      <c r="G31" s="250"/>
      <c r="H31" s="250"/>
      <c r="I31" s="250"/>
      <c r="J31" s="250"/>
      <c r="K31" s="250"/>
      <c r="L31" s="250"/>
      <c r="M31" s="250"/>
      <c r="N31" s="250"/>
      <c r="O31" s="250"/>
      <c r="P31" s="250"/>
      <c r="Q31" s="250"/>
      <c r="R31" s="250"/>
      <c r="S31" s="251"/>
      <c r="T31"/>
      <c r="U31"/>
      <c r="V31"/>
      <c r="W31"/>
      <c r="X31"/>
      <c r="Y31"/>
      <c r="Z31"/>
    </row>
    <row r="32" spans="1:26" ht="24" customHeight="1">
      <c r="A32" s="150" t="s">
        <v>344</v>
      </c>
      <c r="B32" s="83" t="s">
        <v>345</v>
      </c>
      <c r="C32" s="83" t="s">
        <v>346</v>
      </c>
      <c r="D32" s="151" t="s">
        <v>17</v>
      </c>
      <c r="E32" s="151" t="s">
        <v>39</v>
      </c>
      <c r="F32" s="151" t="s">
        <v>199</v>
      </c>
      <c r="G32" s="121">
        <v>1</v>
      </c>
      <c r="H32" s="122">
        <v>70</v>
      </c>
      <c r="I32" s="122">
        <v>70</v>
      </c>
      <c r="J32" s="122">
        <v>140</v>
      </c>
      <c r="K32" s="122">
        <v>250</v>
      </c>
      <c r="L32" s="122">
        <v>10</v>
      </c>
      <c r="M32" s="122">
        <v>70</v>
      </c>
      <c r="N32" s="123">
        <f>SUM(H32:M32)</f>
        <v>610</v>
      </c>
      <c r="O32" s="122">
        <v>800</v>
      </c>
      <c r="P32" s="110">
        <v>395</v>
      </c>
      <c r="Q32" s="124" t="s">
        <v>155</v>
      </c>
      <c r="R32" s="125">
        <f>IFERROR(N32+IF(ISNUMBER(O32),O32,0)+IF(ISNUMBER(P32),P32,0),"")</f>
        <v>1805</v>
      </c>
      <c r="S32" s="139" t="s">
        <v>143</v>
      </c>
      <c r="T32"/>
      <c r="U32"/>
      <c r="V32"/>
      <c r="W32"/>
      <c r="X32"/>
      <c r="Y32"/>
      <c r="Z32"/>
    </row>
    <row r="33" spans="1:26" ht="24" customHeight="1">
      <c r="A33" s="150" t="s">
        <v>344</v>
      </c>
      <c r="B33" s="83" t="s">
        <v>347</v>
      </c>
      <c r="C33" s="83" t="s">
        <v>348</v>
      </c>
      <c r="D33" s="151" t="s">
        <v>17</v>
      </c>
      <c r="E33" s="151" t="s">
        <v>39</v>
      </c>
      <c r="F33" s="151" t="s">
        <v>199</v>
      </c>
      <c r="G33" s="121">
        <v>3</v>
      </c>
      <c r="H33" s="122">
        <v>70</v>
      </c>
      <c r="I33" s="122">
        <v>70</v>
      </c>
      <c r="J33" s="122">
        <v>140</v>
      </c>
      <c r="K33" s="122">
        <v>250</v>
      </c>
      <c r="L33" s="122">
        <v>10</v>
      </c>
      <c r="M33" s="122">
        <v>70</v>
      </c>
      <c r="N33" s="123">
        <f>SUM(H33:M33)</f>
        <v>610</v>
      </c>
      <c r="O33" s="122">
        <v>800</v>
      </c>
      <c r="P33" s="110">
        <v>420</v>
      </c>
      <c r="Q33" s="124" t="s">
        <v>155</v>
      </c>
      <c r="R33" s="125">
        <f>IFERROR(N33+IF(ISNUMBER(O33),O33,0)+IF(ISNUMBER(P33),P33,0),"")</f>
        <v>1830</v>
      </c>
      <c r="S33" s="139" t="s">
        <v>143</v>
      </c>
      <c r="T33"/>
      <c r="U33"/>
      <c r="V33"/>
      <c r="W33"/>
      <c r="X33"/>
      <c r="Y33"/>
      <c r="Z33"/>
    </row>
    <row r="34" spans="1:26" ht="24" customHeight="1">
      <c r="A34" s="150" t="s">
        <v>349</v>
      </c>
      <c r="B34" s="83" t="s">
        <v>350</v>
      </c>
      <c r="C34" s="83" t="s">
        <v>346</v>
      </c>
      <c r="D34" s="151" t="s">
        <v>44</v>
      </c>
      <c r="E34" s="151" t="s">
        <v>39</v>
      </c>
      <c r="F34" s="151" t="s">
        <v>199</v>
      </c>
      <c r="G34" s="121">
        <v>0.5</v>
      </c>
      <c r="H34" s="122">
        <v>70</v>
      </c>
      <c r="I34" s="122">
        <v>70</v>
      </c>
      <c r="J34" s="122">
        <v>140</v>
      </c>
      <c r="K34" s="122">
        <v>420</v>
      </c>
      <c r="L34" s="122">
        <v>30</v>
      </c>
      <c r="M34" s="122">
        <v>70</v>
      </c>
      <c r="N34" s="123">
        <f>SUM(H34:M34)</f>
        <v>800</v>
      </c>
      <c r="O34" s="122">
        <v>800</v>
      </c>
      <c r="P34" s="110">
        <v>205</v>
      </c>
      <c r="Q34" s="124" t="s">
        <v>219</v>
      </c>
      <c r="R34" s="125">
        <f>IFERROR(N34+IF(ISNUMBER(O34),O34,0)+IF(ISNUMBER(P34),P34,0),"")</f>
        <v>1805</v>
      </c>
      <c r="S34" s="139" t="s">
        <v>143</v>
      </c>
      <c r="T34"/>
      <c r="U34"/>
      <c r="V34"/>
      <c r="W34"/>
      <c r="X34"/>
      <c r="Y34"/>
      <c r="Z34"/>
    </row>
    <row r="35" spans="1:26" ht="24" customHeight="1">
      <c r="A35" s="150" t="s">
        <v>351</v>
      </c>
      <c r="B35" s="83" t="s">
        <v>45</v>
      </c>
      <c r="C35" s="83" t="s">
        <v>348</v>
      </c>
      <c r="D35" s="151" t="s">
        <v>46</v>
      </c>
      <c r="E35" s="151" t="s">
        <v>39</v>
      </c>
      <c r="F35" s="151" t="s">
        <v>199</v>
      </c>
      <c r="G35" s="121">
        <v>0.5</v>
      </c>
      <c r="H35" s="122">
        <v>70</v>
      </c>
      <c r="I35" s="122">
        <v>70</v>
      </c>
      <c r="J35" s="122">
        <v>140</v>
      </c>
      <c r="K35" s="122">
        <v>420</v>
      </c>
      <c r="L35" s="122">
        <v>30</v>
      </c>
      <c r="M35" s="122">
        <v>70</v>
      </c>
      <c r="N35" s="123">
        <f>SUM(H35:M35)</f>
        <v>800</v>
      </c>
      <c r="O35" s="122">
        <v>800</v>
      </c>
      <c r="P35" s="110" t="s">
        <v>221</v>
      </c>
      <c r="Q35" s="124" t="s">
        <v>222</v>
      </c>
      <c r="R35" s="125">
        <f>IFERROR(N35+IF(ISNUMBER(O35),O35,0)+IF(ISNUMBER(P35),P35,0),"")</f>
        <v>1600</v>
      </c>
      <c r="S35" s="139" t="s">
        <v>221</v>
      </c>
      <c r="T35"/>
      <c r="U35"/>
      <c r="V35"/>
      <c r="W35"/>
      <c r="X35"/>
      <c r="Y35"/>
      <c r="Z35"/>
    </row>
    <row r="36" spans="1:26" ht="24" customHeight="1">
      <c r="A36" s="150" t="s">
        <v>352</v>
      </c>
      <c r="B36" s="83" t="s">
        <v>348</v>
      </c>
      <c r="C36" s="83" t="s">
        <v>353</v>
      </c>
      <c r="D36" s="151" t="s">
        <v>39</v>
      </c>
      <c r="E36" s="151" t="s">
        <v>79</v>
      </c>
      <c r="F36" s="151" t="s">
        <v>224</v>
      </c>
      <c r="G36" s="121">
        <v>6</v>
      </c>
      <c r="H36" s="122">
        <v>70</v>
      </c>
      <c r="I36" s="122">
        <v>70</v>
      </c>
      <c r="J36" s="122">
        <v>140</v>
      </c>
      <c r="K36" s="122">
        <v>300</v>
      </c>
      <c r="L36" s="122">
        <v>30</v>
      </c>
      <c r="M36" s="122">
        <v>70</v>
      </c>
      <c r="N36" s="123">
        <f>SUM(H36:M36)</f>
        <v>680</v>
      </c>
      <c r="O36" s="122">
        <v>2200</v>
      </c>
      <c r="P36" s="110">
        <v>2590</v>
      </c>
      <c r="Q36" s="124" t="s">
        <v>154</v>
      </c>
      <c r="R36" s="125">
        <f>IFERROR(N36+IF(ISNUMBER(O36),O36,0)+IF(ISNUMBER(P36),P36,0),"")</f>
        <v>5470</v>
      </c>
      <c r="S36" s="139" t="s">
        <v>142</v>
      </c>
      <c r="T36"/>
      <c r="U36"/>
      <c r="V36"/>
      <c r="W36"/>
      <c r="X36"/>
      <c r="Y36"/>
      <c r="Z36"/>
    </row>
    <row r="37" spans="1:26" ht="22" customHeight="1">
      <c r="A37" s="234" t="s">
        <v>482</v>
      </c>
      <c r="B37" s="235"/>
      <c r="C37" s="235"/>
      <c r="D37" s="235"/>
      <c r="E37" s="235"/>
      <c r="F37" s="235"/>
      <c r="G37" s="235"/>
      <c r="H37" s="235"/>
      <c r="I37" s="235"/>
      <c r="J37" s="235"/>
      <c r="K37" s="235"/>
      <c r="L37" s="235"/>
      <c r="M37" s="235"/>
      <c r="N37" s="235"/>
      <c r="O37" s="235"/>
      <c r="P37" s="235"/>
      <c r="Q37" s="235"/>
      <c r="R37" s="235"/>
      <c r="S37" s="236"/>
      <c r="T37"/>
      <c r="U37"/>
      <c r="V37"/>
      <c r="W37"/>
      <c r="X37"/>
      <c r="Y37"/>
      <c r="Z37"/>
    </row>
    <row r="38" spans="1:26" ht="24" customHeight="1">
      <c r="A38" s="152" t="s">
        <v>211</v>
      </c>
      <c r="B38" s="84" t="s">
        <v>354</v>
      </c>
      <c r="C38" s="84" t="s">
        <v>353</v>
      </c>
      <c r="D38" s="153" t="s">
        <v>17</v>
      </c>
      <c r="E38" s="153" t="s">
        <v>79</v>
      </c>
      <c r="F38" s="153" t="s">
        <v>199</v>
      </c>
      <c r="G38" s="126">
        <v>1</v>
      </c>
      <c r="H38" s="127">
        <v>70</v>
      </c>
      <c r="I38" s="127">
        <v>70</v>
      </c>
      <c r="J38" s="127">
        <v>140</v>
      </c>
      <c r="K38" s="127">
        <v>400</v>
      </c>
      <c r="L38" s="127">
        <v>10</v>
      </c>
      <c r="M38" s="127">
        <v>70</v>
      </c>
      <c r="N38" s="128">
        <f>SUM(H38:M38)</f>
        <v>760</v>
      </c>
      <c r="O38" s="127">
        <v>2200</v>
      </c>
      <c r="P38" s="110">
        <v>2250</v>
      </c>
      <c r="Q38" s="129" t="s">
        <v>153</v>
      </c>
      <c r="R38" s="130">
        <f>IFERROR(N38+IF(ISNUMBER(O38),O38,0)+IF(ISNUMBER(P38),P38,0),"")</f>
        <v>5210</v>
      </c>
      <c r="S38" s="140" t="s">
        <v>212</v>
      </c>
      <c r="T38"/>
      <c r="U38"/>
      <c r="V38"/>
      <c r="W38"/>
      <c r="X38"/>
      <c r="Y38"/>
      <c r="Z38"/>
    </row>
    <row r="39" spans="1:26" ht="24" customHeight="1">
      <c r="A39" s="152" t="s">
        <v>355</v>
      </c>
      <c r="B39" s="84" t="s">
        <v>64</v>
      </c>
      <c r="C39" s="84" t="s">
        <v>353</v>
      </c>
      <c r="D39" s="153" t="s">
        <v>29</v>
      </c>
      <c r="E39" s="153" t="s">
        <v>79</v>
      </c>
      <c r="F39" s="153" t="s">
        <v>199</v>
      </c>
      <c r="G39" s="126">
        <v>2</v>
      </c>
      <c r="H39" s="127">
        <v>70</v>
      </c>
      <c r="I39" s="127">
        <v>70</v>
      </c>
      <c r="J39" s="127">
        <v>140</v>
      </c>
      <c r="K39" s="127">
        <v>300</v>
      </c>
      <c r="L39" s="127">
        <v>250</v>
      </c>
      <c r="M39" s="127">
        <v>70</v>
      </c>
      <c r="N39" s="128">
        <f>SUM(H39:M39)</f>
        <v>900</v>
      </c>
      <c r="O39" s="127">
        <v>2200</v>
      </c>
      <c r="P39" s="110">
        <v>3300</v>
      </c>
      <c r="Q39" s="129" t="s">
        <v>151</v>
      </c>
      <c r="R39" s="130">
        <f>IFERROR(N39+IF(ISNUMBER(O39),O39,0)+IF(ISNUMBER(P39),P39,0),"")</f>
        <v>6400</v>
      </c>
      <c r="S39" s="140" t="s">
        <v>131</v>
      </c>
      <c r="T39"/>
      <c r="U39"/>
      <c r="V39"/>
      <c r="W39"/>
      <c r="X39"/>
      <c r="Y39"/>
      <c r="Z39"/>
    </row>
    <row r="40" spans="1:26" ht="24" customHeight="1" thickBot="1">
      <c r="A40" s="199" t="s">
        <v>215</v>
      </c>
      <c r="B40" s="85" t="s">
        <v>74</v>
      </c>
      <c r="C40" s="85" t="s">
        <v>353</v>
      </c>
      <c r="D40" s="200" t="s">
        <v>56</v>
      </c>
      <c r="E40" s="200" t="s">
        <v>79</v>
      </c>
      <c r="F40" s="200" t="s">
        <v>199</v>
      </c>
      <c r="G40" s="131">
        <v>0.5</v>
      </c>
      <c r="H40" s="132">
        <v>70</v>
      </c>
      <c r="I40" s="132">
        <v>70</v>
      </c>
      <c r="J40" s="132">
        <v>140</v>
      </c>
      <c r="K40" s="132">
        <v>300</v>
      </c>
      <c r="L40" s="132">
        <v>250</v>
      </c>
      <c r="M40" s="132">
        <v>70</v>
      </c>
      <c r="N40" s="133">
        <f>SUM(H40:M40)</f>
        <v>900</v>
      </c>
      <c r="O40" s="132">
        <v>2200</v>
      </c>
      <c r="P40" s="134">
        <v>3190</v>
      </c>
      <c r="Q40" s="135" t="s">
        <v>154</v>
      </c>
      <c r="R40" s="136">
        <f>IFERROR(N40+IF(ISNUMBER(O40),O40,0)+IF(ISNUMBER(P40),P40,0),"")</f>
        <v>6290</v>
      </c>
      <c r="S40" s="141" t="s">
        <v>142</v>
      </c>
      <c r="T40"/>
      <c r="U40"/>
      <c r="V40"/>
      <c r="W40"/>
      <c r="X40"/>
      <c r="Y40"/>
      <c r="Z40"/>
    </row>
    <row r="41" spans="1:26">
      <c r="A41"/>
      <c r="B41"/>
      <c r="C41"/>
      <c r="D41"/>
      <c r="E41"/>
      <c r="F41"/>
      <c r="G41"/>
      <c r="H41"/>
      <c r="I41"/>
      <c r="J41"/>
      <c r="K41"/>
      <c r="L41"/>
      <c r="M41"/>
      <c r="N41"/>
      <c r="O41"/>
      <c r="P41"/>
      <c r="Q41"/>
      <c r="R41"/>
      <c r="S41"/>
      <c r="T41"/>
      <c r="U41"/>
      <c r="V41"/>
      <c r="W41"/>
      <c r="X41"/>
      <c r="Y41"/>
      <c r="Z41"/>
    </row>
    <row r="42" spans="1:26">
      <c r="A42"/>
      <c r="B42"/>
      <c r="C42"/>
      <c r="D42"/>
      <c r="E42"/>
      <c r="F42"/>
      <c r="G42"/>
      <c r="H42"/>
      <c r="I42"/>
      <c r="J42"/>
      <c r="K42"/>
      <c r="L42"/>
      <c r="M42"/>
      <c r="N42"/>
      <c r="O42"/>
      <c r="P42"/>
      <c r="Q42"/>
      <c r="R42"/>
      <c r="S42"/>
      <c r="T42"/>
      <c r="U42"/>
      <c r="V42"/>
      <c r="W42"/>
      <c r="X42"/>
      <c r="Y42"/>
      <c r="Z42"/>
    </row>
    <row r="43" spans="1:26">
      <c r="A43"/>
      <c r="B43"/>
      <c r="C43"/>
      <c r="D43"/>
      <c r="E43"/>
      <c r="F43"/>
      <c r="G43"/>
      <c r="H43"/>
      <c r="I43"/>
      <c r="J43"/>
      <c r="K43"/>
      <c r="L43"/>
      <c r="M43"/>
      <c r="N43"/>
      <c r="O43"/>
      <c r="P43"/>
      <c r="Q43"/>
      <c r="R43"/>
      <c r="S43"/>
      <c r="T43"/>
      <c r="U43"/>
      <c r="V43"/>
      <c r="W43"/>
      <c r="X43"/>
      <c r="Y43"/>
      <c r="Z43"/>
    </row>
    <row r="44" spans="1:26">
      <c r="A44"/>
      <c r="B44"/>
      <c r="C44"/>
      <c r="D44"/>
      <c r="E44"/>
      <c r="F44"/>
      <c r="G44"/>
      <c r="H44"/>
      <c r="I44"/>
      <c r="J44"/>
      <c r="K44"/>
      <c r="L44"/>
      <c r="M44"/>
      <c r="N44"/>
      <c r="O44"/>
      <c r="P44"/>
      <c r="Q44"/>
      <c r="R44"/>
      <c r="S44"/>
      <c r="T44"/>
      <c r="U44"/>
      <c r="V44"/>
      <c r="W44"/>
      <c r="X44"/>
      <c r="Y44"/>
      <c r="Z44"/>
    </row>
    <row r="45" spans="1:26">
      <c r="A45"/>
      <c r="B45"/>
      <c r="C45"/>
      <c r="D45"/>
      <c r="E45"/>
      <c r="F45"/>
      <c r="G45"/>
      <c r="H45"/>
      <c r="I45"/>
      <c r="J45"/>
      <c r="K45"/>
      <c r="L45"/>
      <c r="M45"/>
      <c r="N45"/>
      <c r="O45"/>
      <c r="P45"/>
      <c r="Q45"/>
      <c r="R45"/>
      <c r="S45"/>
      <c r="T45"/>
      <c r="U45"/>
      <c r="V45"/>
      <c r="W45"/>
      <c r="X45"/>
      <c r="Y45"/>
      <c r="Z45"/>
    </row>
    <row r="46" spans="1:26">
      <c r="A46"/>
      <c r="B46"/>
      <c r="C46"/>
      <c r="D46"/>
      <c r="E46"/>
      <c r="F46"/>
      <c r="G46"/>
      <c r="H46"/>
      <c r="I46"/>
      <c r="J46"/>
      <c r="K46"/>
      <c r="L46"/>
      <c r="M46"/>
      <c r="N46"/>
      <c r="O46"/>
      <c r="P46"/>
      <c r="Q46"/>
      <c r="R46"/>
      <c r="S46"/>
      <c r="T46"/>
      <c r="U46"/>
      <c r="V46"/>
      <c r="W46"/>
      <c r="X46"/>
      <c r="Y46"/>
      <c r="Z46"/>
    </row>
    <row r="47" spans="1:26">
      <c r="A47"/>
      <c r="B47"/>
      <c r="C47"/>
      <c r="D47"/>
      <c r="E47"/>
      <c r="F47"/>
      <c r="G47"/>
      <c r="H47"/>
      <c r="I47"/>
      <c r="J47"/>
      <c r="K47"/>
      <c r="L47"/>
      <c r="M47"/>
      <c r="N47"/>
      <c r="O47"/>
      <c r="P47"/>
      <c r="Q47"/>
      <c r="R47"/>
      <c r="S47"/>
      <c r="T47"/>
      <c r="U47"/>
      <c r="V47"/>
      <c r="W47"/>
      <c r="X47"/>
      <c r="Y47"/>
      <c r="Z47"/>
    </row>
    <row r="48" spans="1:26">
      <c r="A48"/>
      <c r="B48"/>
      <c r="C48"/>
      <c r="D48"/>
      <c r="E48"/>
      <c r="F48"/>
      <c r="G48"/>
      <c r="H48"/>
      <c r="I48"/>
      <c r="J48"/>
      <c r="K48"/>
      <c r="L48"/>
      <c r="M48"/>
      <c r="N48"/>
      <c r="O48"/>
      <c r="P48"/>
      <c r="Q48"/>
      <c r="R48"/>
      <c r="S48"/>
      <c r="T48"/>
      <c r="U48"/>
      <c r="V48"/>
      <c r="W48"/>
      <c r="X48"/>
      <c r="Y48"/>
      <c r="Z48"/>
    </row>
    <row r="49" spans="1:26">
      <c r="A49"/>
      <c r="B49"/>
      <c r="C49"/>
      <c r="D49"/>
      <c r="E49"/>
      <c r="F49"/>
      <c r="G49"/>
      <c r="H49"/>
      <c r="I49"/>
      <c r="J49"/>
      <c r="K49"/>
      <c r="L49"/>
      <c r="M49"/>
      <c r="N49"/>
      <c r="O49"/>
      <c r="P49"/>
      <c r="Q49"/>
      <c r="R49"/>
      <c r="S49"/>
      <c r="T49"/>
      <c r="U49"/>
      <c r="V49"/>
      <c r="W49"/>
      <c r="X49"/>
      <c r="Y49"/>
      <c r="Z49"/>
    </row>
    <row r="50" spans="1:26">
      <c r="A50"/>
      <c r="B50"/>
      <c r="C50"/>
      <c r="D50"/>
      <c r="E50"/>
      <c r="F50"/>
      <c r="G50"/>
      <c r="H50"/>
      <c r="I50"/>
      <c r="J50"/>
      <c r="K50"/>
      <c r="L50"/>
      <c r="M50"/>
      <c r="N50"/>
      <c r="O50"/>
      <c r="P50"/>
      <c r="Q50"/>
      <c r="R50"/>
      <c r="S50"/>
      <c r="T50"/>
      <c r="U50"/>
      <c r="V50"/>
      <c r="W50"/>
      <c r="X50"/>
      <c r="Y50"/>
      <c r="Z50"/>
    </row>
    <row r="51" spans="1:26">
      <c r="A51"/>
      <c r="B51"/>
      <c r="C51"/>
      <c r="D51"/>
      <c r="E51"/>
      <c r="F51"/>
      <c r="G51"/>
      <c r="H51"/>
      <c r="I51"/>
      <c r="J51"/>
      <c r="K51"/>
      <c r="L51"/>
      <c r="M51"/>
      <c r="N51"/>
      <c r="O51"/>
      <c r="P51"/>
      <c r="Q51"/>
      <c r="R51"/>
      <c r="S51"/>
      <c r="T51"/>
      <c r="U51"/>
      <c r="V51"/>
      <c r="W51"/>
      <c r="X51"/>
      <c r="Y51"/>
      <c r="Z51"/>
    </row>
    <row r="52" spans="1:26">
      <c r="A52"/>
      <c r="B52"/>
      <c r="C52"/>
      <c r="D52"/>
      <c r="E52"/>
      <c r="F52"/>
      <c r="G52"/>
      <c r="H52"/>
      <c r="I52"/>
      <c r="J52"/>
      <c r="K52"/>
      <c r="L52"/>
      <c r="M52"/>
      <c r="N52"/>
      <c r="O52"/>
      <c r="P52"/>
      <c r="Q52"/>
      <c r="R52"/>
      <c r="S52"/>
      <c r="T52"/>
      <c r="U52"/>
      <c r="V52"/>
      <c r="W52"/>
      <c r="X52"/>
      <c r="Y52"/>
      <c r="Z52"/>
    </row>
    <row r="53" spans="1:26">
      <c r="A53"/>
      <c r="B53"/>
      <c r="C53"/>
      <c r="D53"/>
      <c r="E53"/>
      <c r="F53"/>
      <c r="G53"/>
      <c r="H53"/>
      <c r="I53"/>
      <c r="J53"/>
      <c r="K53"/>
      <c r="L53"/>
      <c r="M53"/>
      <c r="N53"/>
      <c r="O53"/>
      <c r="P53"/>
      <c r="Q53"/>
      <c r="R53"/>
      <c r="S53"/>
      <c r="T53"/>
      <c r="U53"/>
      <c r="V53"/>
      <c r="W53"/>
      <c r="X53"/>
      <c r="Y53"/>
      <c r="Z53"/>
    </row>
    <row r="54" spans="1:26">
      <c r="A54"/>
      <c r="B54"/>
      <c r="C54"/>
      <c r="D54"/>
      <c r="E54"/>
      <c r="F54"/>
      <c r="G54"/>
      <c r="H54"/>
      <c r="I54"/>
      <c r="J54"/>
      <c r="K54"/>
      <c r="L54"/>
      <c r="M54"/>
      <c r="N54"/>
      <c r="O54"/>
      <c r="P54"/>
      <c r="Q54"/>
      <c r="R54"/>
      <c r="S54"/>
      <c r="T54"/>
      <c r="U54"/>
      <c r="V54"/>
      <c r="W54"/>
      <c r="X54"/>
      <c r="Y54"/>
      <c r="Z54"/>
    </row>
    <row r="55" spans="1:26">
      <c r="A55"/>
      <c r="B55"/>
      <c r="C55"/>
      <c r="D55"/>
      <c r="E55"/>
      <c r="F55"/>
      <c r="G55"/>
      <c r="H55"/>
      <c r="I55"/>
      <c r="J55"/>
      <c r="K55"/>
      <c r="L55"/>
      <c r="M55"/>
      <c r="N55"/>
      <c r="O55"/>
      <c r="P55"/>
      <c r="Q55"/>
      <c r="R55"/>
      <c r="S55"/>
      <c r="T55"/>
      <c r="U55"/>
      <c r="V55"/>
      <c r="W55"/>
      <c r="X55"/>
      <c r="Y55"/>
      <c r="Z55"/>
    </row>
    <row r="56" spans="1:26">
      <c r="A56"/>
      <c r="B56"/>
      <c r="C56"/>
      <c r="D56"/>
      <c r="E56"/>
      <c r="F56"/>
      <c r="G56"/>
      <c r="H56"/>
      <c r="I56"/>
      <c r="J56"/>
      <c r="K56"/>
      <c r="L56"/>
      <c r="M56"/>
      <c r="N56"/>
      <c r="O56"/>
      <c r="P56"/>
      <c r="Q56"/>
      <c r="R56"/>
      <c r="S56"/>
      <c r="T56"/>
      <c r="U56"/>
      <c r="V56"/>
      <c r="W56"/>
      <c r="X56"/>
      <c r="Y56"/>
      <c r="Z56"/>
    </row>
    <row r="57" spans="1:26">
      <c r="A57"/>
      <c r="B57"/>
      <c r="C57"/>
      <c r="D57"/>
      <c r="E57"/>
      <c r="F57"/>
      <c r="G57"/>
      <c r="H57"/>
      <c r="I57"/>
      <c r="J57"/>
      <c r="K57"/>
      <c r="L57"/>
      <c r="M57"/>
      <c r="N57"/>
      <c r="O57"/>
      <c r="P57"/>
      <c r="Q57"/>
      <c r="R57"/>
      <c r="S57"/>
      <c r="T57"/>
      <c r="U57"/>
      <c r="V57"/>
      <c r="W57"/>
      <c r="X57"/>
      <c r="Y57"/>
      <c r="Z57"/>
    </row>
    <row r="58" spans="1:26">
      <c r="A58"/>
      <c r="B58"/>
      <c r="C58"/>
      <c r="D58"/>
      <c r="E58"/>
      <c r="F58"/>
      <c r="G58"/>
      <c r="H58"/>
      <c r="I58"/>
      <c r="J58"/>
      <c r="K58"/>
      <c r="L58"/>
      <c r="M58"/>
      <c r="N58"/>
      <c r="O58"/>
      <c r="P58"/>
      <c r="Q58"/>
      <c r="R58"/>
      <c r="S58"/>
      <c r="T58"/>
      <c r="U58"/>
      <c r="V58"/>
      <c r="W58"/>
      <c r="X58"/>
      <c r="Y58"/>
      <c r="Z58"/>
    </row>
    <row r="59" spans="1:26">
      <c r="A59"/>
      <c r="B59"/>
      <c r="C59"/>
      <c r="D59"/>
      <c r="E59"/>
      <c r="F59"/>
      <c r="G59"/>
      <c r="H59"/>
      <c r="I59"/>
      <c r="J59"/>
      <c r="K59"/>
      <c r="L59"/>
      <c r="M59"/>
      <c r="N59"/>
      <c r="O59"/>
      <c r="P59"/>
      <c r="Q59"/>
      <c r="R59"/>
      <c r="S59"/>
      <c r="T59"/>
      <c r="U59"/>
      <c r="V59"/>
      <c r="W59"/>
      <c r="X59"/>
      <c r="Y59"/>
      <c r="Z59"/>
    </row>
    <row r="60" spans="1:26">
      <c r="A60"/>
      <c r="B60"/>
      <c r="C60"/>
      <c r="D60"/>
      <c r="E60"/>
      <c r="F60"/>
      <c r="G60"/>
      <c r="H60"/>
      <c r="I60"/>
      <c r="J60"/>
      <c r="K60"/>
      <c r="L60"/>
      <c r="M60"/>
      <c r="N60"/>
      <c r="O60"/>
      <c r="P60"/>
      <c r="Q60"/>
      <c r="R60"/>
      <c r="S60"/>
      <c r="T60"/>
      <c r="U60"/>
      <c r="V60"/>
      <c r="W60"/>
      <c r="X60"/>
      <c r="Y60"/>
      <c r="Z60"/>
    </row>
    <row r="61" spans="1:26">
      <c r="A61"/>
      <c r="B61"/>
      <c r="C61"/>
      <c r="D61"/>
      <c r="E61"/>
      <c r="F61"/>
      <c r="G61"/>
      <c r="H61"/>
      <c r="I61"/>
      <c r="J61"/>
      <c r="K61"/>
      <c r="L61"/>
      <c r="M61"/>
      <c r="N61"/>
      <c r="O61"/>
      <c r="P61"/>
      <c r="Q61"/>
      <c r="R61"/>
      <c r="S61"/>
      <c r="T61"/>
      <c r="U61"/>
      <c r="V61"/>
      <c r="W61"/>
      <c r="X61"/>
      <c r="Y61"/>
      <c r="Z61"/>
    </row>
    <row r="62" spans="1:26">
      <c r="A62"/>
      <c r="B62"/>
      <c r="C62"/>
      <c r="D62"/>
      <c r="E62"/>
      <c r="F62"/>
      <c r="G62"/>
      <c r="H62"/>
      <c r="I62"/>
      <c r="J62"/>
      <c r="K62"/>
      <c r="L62"/>
      <c r="M62"/>
      <c r="N62"/>
      <c r="O62"/>
      <c r="P62"/>
      <c r="Q62"/>
      <c r="R62"/>
      <c r="S62"/>
      <c r="T62"/>
      <c r="U62"/>
      <c r="V62"/>
      <c r="W62"/>
      <c r="X62"/>
      <c r="Y62"/>
      <c r="Z62"/>
    </row>
    <row r="63" spans="1:26">
      <c r="A63"/>
      <c r="B63"/>
      <c r="C63"/>
      <c r="D63"/>
      <c r="E63"/>
      <c r="F63"/>
      <c r="G63"/>
      <c r="H63"/>
      <c r="I63"/>
      <c r="J63"/>
      <c r="K63"/>
      <c r="L63"/>
      <c r="M63"/>
      <c r="N63"/>
      <c r="O63"/>
      <c r="P63"/>
      <c r="Q63"/>
      <c r="R63"/>
      <c r="S63"/>
      <c r="T63"/>
      <c r="U63"/>
      <c r="V63"/>
      <c r="W63"/>
      <c r="X63"/>
      <c r="Y63"/>
      <c r="Z63"/>
    </row>
    <row r="64" spans="1:26">
      <c r="A64"/>
      <c r="B64"/>
      <c r="C64"/>
      <c r="D64"/>
      <c r="E64"/>
      <c r="F64"/>
      <c r="G64"/>
      <c r="H64"/>
      <c r="I64"/>
      <c r="J64"/>
      <c r="K64"/>
      <c r="L64"/>
      <c r="M64"/>
      <c r="N64"/>
      <c r="O64"/>
      <c r="P64"/>
      <c r="Q64"/>
      <c r="R64"/>
      <c r="S64"/>
      <c r="T64"/>
      <c r="U64"/>
      <c r="V64"/>
      <c r="W64"/>
      <c r="X64"/>
      <c r="Y64"/>
      <c r="Z64"/>
    </row>
    <row r="65" spans="1:26">
      <c r="A65"/>
      <c r="B65"/>
      <c r="C65"/>
      <c r="D65"/>
      <c r="E65"/>
      <c r="F65"/>
      <c r="G65"/>
      <c r="H65"/>
      <c r="I65"/>
      <c r="J65"/>
      <c r="K65"/>
      <c r="L65"/>
      <c r="M65"/>
      <c r="N65"/>
      <c r="O65"/>
      <c r="P65"/>
      <c r="Q65"/>
      <c r="R65"/>
      <c r="S65"/>
      <c r="T65"/>
      <c r="U65"/>
      <c r="V65"/>
      <c r="W65"/>
      <c r="X65"/>
      <c r="Y65"/>
      <c r="Z65"/>
    </row>
    <row r="66" spans="1:26">
      <c r="A66"/>
      <c r="B66"/>
      <c r="C66"/>
      <c r="D66"/>
      <c r="E66"/>
      <c r="F66"/>
      <c r="G66"/>
      <c r="H66"/>
      <c r="I66"/>
      <c r="J66"/>
      <c r="K66"/>
      <c r="L66"/>
      <c r="M66"/>
      <c r="N66"/>
      <c r="O66"/>
      <c r="P66"/>
      <c r="Q66"/>
      <c r="R66"/>
      <c r="S66"/>
      <c r="T66"/>
      <c r="U66"/>
      <c r="V66"/>
      <c r="W66"/>
      <c r="X66"/>
      <c r="Y66"/>
      <c r="Z66"/>
    </row>
    <row r="67" spans="1:26">
      <c r="A67"/>
      <c r="B67"/>
      <c r="C67"/>
      <c r="D67"/>
      <c r="E67"/>
      <c r="F67"/>
      <c r="G67"/>
      <c r="H67"/>
      <c r="I67"/>
      <c r="J67"/>
      <c r="K67"/>
      <c r="L67"/>
      <c r="M67"/>
      <c r="N67"/>
      <c r="O67"/>
      <c r="P67"/>
      <c r="Q67"/>
      <c r="R67"/>
      <c r="S67"/>
      <c r="T67"/>
      <c r="U67"/>
      <c r="V67"/>
      <c r="W67"/>
      <c r="X67"/>
      <c r="Y67"/>
      <c r="Z67"/>
    </row>
    <row r="68" spans="1:26">
      <c r="A68"/>
      <c r="B68"/>
      <c r="C68"/>
      <c r="D68"/>
      <c r="E68"/>
      <c r="F68"/>
      <c r="G68"/>
      <c r="H68"/>
      <c r="I68"/>
      <c r="J68"/>
      <c r="K68"/>
      <c r="L68"/>
      <c r="M68"/>
      <c r="N68"/>
      <c r="O68"/>
      <c r="P68"/>
      <c r="Q68"/>
      <c r="R68"/>
      <c r="S68"/>
      <c r="T68"/>
      <c r="U68"/>
      <c r="V68"/>
      <c r="W68"/>
      <c r="X68"/>
      <c r="Y68"/>
      <c r="Z68"/>
    </row>
    <row r="69" spans="1:26">
      <c r="A69"/>
      <c r="B69"/>
      <c r="C69"/>
      <c r="D69"/>
      <c r="E69"/>
      <c r="F69"/>
      <c r="G69"/>
      <c r="H69"/>
      <c r="I69"/>
      <c r="J69"/>
      <c r="K69"/>
      <c r="L69"/>
      <c r="M69"/>
      <c r="N69"/>
      <c r="O69"/>
      <c r="P69"/>
      <c r="Q69"/>
      <c r="R69"/>
      <c r="S69"/>
      <c r="T69"/>
      <c r="U69"/>
      <c r="V69"/>
      <c r="W69"/>
      <c r="X69"/>
      <c r="Y69"/>
      <c r="Z69"/>
    </row>
    <row r="70" spans="1:26">
      <c r="A70"/>
      <c r="B70"/>
      <c r="C70"/>
      <c r="D70"/>
      <c r="E70"/>
      <c r="F70"/>
      <c r="G70"/>
      <c r="H70"/>
      <c r="I70"/>
      <c r="J70"/>
      <c r="K70"/>
      <c r="L70"/>
      <c r="M70"/>
      <c r="N70"/>
      <c r="O70"/>
      <c r="P70"/>
      <c r="Q70"/>
      <c r="R70"/>
      <c r="S70"/>
      <c r="T70"/>
      <c r="U70"/>
      <c r="V70"/>
      <c r="W70"/>
      <c r="X70"/>
      <c r="Y70"/>
      <c r="Z70"/>
    </row>
    <row r="71" spans="1:26">
      <c r="A71"/>
      <c r="B71"/>
      <c r="C71"/>
      <c r="D71"/>
      <c r="E71"/>
      <c r="F71"/>
      <c r="G71"/>
      <c r="H71"/>
      <c r="I71"/>
      <c r="J71"/>
      <c r="K71"/>
      <c r="L71"/>
      <c r="M71"/>
      <c r="N71"/>
      <c r="O71"/>
      <c r="P71"/>
      <c r="Q71"/>
      <c r="R71"/>
      <c r="S71"/>
      <c r="T71"/>
      <c r="U71"/>
      <c r="V71"/>
      <c r="W71"/>
      <c r="X71"/>
      <c r="Y71"/>
      <c r="Z71"/>
    </row>
    <row r="72" spans="1:26">
      <c r="A72"/>
      <c r="B72"/>
      <c r="C72"/>
      <c r="D72"/>
      <c r="E72"/>
      <c r="F72"/>
      <c r="G72"/>
      <c r="H72"/>
      <c r="I72"/>
      <c r="J72"/>
      <c r="K72"/>
      <c r="L72"/>
      <c r="M72"/>
      <c r="N72"/>
      <c r="O72"/>
      <c r="P72"/>
      <c r="Q72"/>
      <c r="R72"/>
      <c r="S72"/>
      <c r="T72"/>
      <c r="U72"/>
      <c r="V72"/>
      <c r="W72"/>
      <c r="X72"/>
      <c r="Y72"/>
      <c r="Z72"/>
    </row>
    <row r="73" spans="1:26">
      <c r="A73"/>
      <c r="B73"/>
      <c r="C73"/>
      <c r="D73"/>
      <c r="E73"/>
      <c r="F73"/>
      <c r="G73"/>
      <c r="H73"/>
      <c r="I73"/>
      <c r="J73"/>
      <c r="K73"/>
      <c r="L73"/>
      <c r="M73"/>
      <c r="N73"/>
      <c r="O73"/>
      <c r="P73"/>
      <c r="Q73"/>
      <c r="R73"/>
      <c r="S73"/>
      <c r="T73"/>
      <c r="U73"/>
      <c r="V73"/>
      <c r="W73"/>
      <c r="X73"/>
      <c r="Y73"/>
      <c r="Z73"/>
    </row>
    <row r="74" spans="1:26">
      <c r="A74"/>
      <c r="B74"/>
      <c r="C74"/>
      <c r="D74"/>
      <c r="E74"/>
      <c r="F74"/>
      <c r="G74"/>
      <c r="H74"/>
      <c r="I74"/>
      <c r="J74"/>
      <c r="K74"/>
      <c r="L74"/>
      <c r="M74"/>
      <c r="N74"/>
      <c r="O74"/>
      <c r="P74"/>
      <c r="Q74"/>
      <c r="R74"/>
      <c r="S74"/>
      <c r="T74"/>
      <c r="U74"/>
      <c r="V74"/>
      <c r="W74"/>
      <c r="X74"/>
      <c r="Y74"/>
      <c r="Z74"/>
    </row>
    <row r="75" spans="1:26">
      <c r="A75"/>
      <c r="B75"/>
      <c r="C75"/>
      <c r="D75"/>
      <c r="E75"/>
      <c r="F75"/>
      <c r="G75"/>
      <c r="H75"/>
      <c r="I75"/>
      <c r="J75"/>
      <c r="K75"/>
      <c r="L75"/>
      <c r="M75"/>
      <c r="N75"/>
      <c r="O75"/>
      <c r="P75"/>
      <c r="Q75"/>
      <c r="R75"/>
      <c r="S75"/>
      <c r="T75"/>
      <c r="U75"/>
      <c r="V75"/>
      <c r="W75"/>
      <c r="X75"/>
      <c r="Y75"/>
      <c r="Z75"/>
    </row>
    <row r="76" spans="1:26">
      <c r="A76"/>
      <c r="B76"/>
      <c r="C76"/>
      <c r="D76"/>
      <c r="E76"/>
      <c r="F76"/>
      <c r="G76"/>
      <c r="H76"/>
      <c r="I76"/>
      <c r="J76"/>
      <c r="K76"/>
      <c r="L76"/>
      <c r="M76"/>
      <c r="N76"/>
      <c r="O76"/>
      <c r="P76"/>
      <c r="Q76"/>
      <c r="R76"/>
      <c r="S76"/>
      <c r="T76"/>
      <c r="U76"/>
      <c r="V76"/>
      <c r="W76"/>
      <c r="X76"/>
      <c r="Y76"/>
      <c r="Z76"/>
    </row>
    <row r="77" spans="1:26">
      <c r="A77"/>
      <c r="B77"/>
      <c r="C77"/>
      <c r="D77"/>
      <c r="E77"/>
      <c r="F77"/>
      <c r="G77"/>
      <c r="H77"/>
      <c r="I77"/>
      <c r="J77"/>
      <c r="K77"/>
      <c r="L77"/>
      <c r="M77"/>
      <c r="N77"/>
      <c r="O77"/>
      <c r="P77"/>
      <c r="Q77"/>
      <c r="R77"/>
      <c r="S77"/>
      <c r="T77"/>
      <c r="U77"/>
      <c r="V77"/>
      <c r="W77"/>
      <c r="X77"/>
      <c r="Y77"/>
      <c r="Z77"/>
    </row>
    <row r="78" spans="1:26">
      <c r="A78"/>
      <c r="B78"/>
      <c r="C78"/>
      <c r="D78"/>
      <c r="E78"/>
      <c r="F78"/>
      <c r="G78"/>
      <c r="H78"/>
      <c r="I78"/>
      <c r="J78"/>
      <c r="K78"/>
      <c r="L78"/>
      <c r="M78"/>
      <c r="N78"/>
      <c r="O78"/>
      <c r="P78"/>
      <c r="Q78"/>
      <c r="R78"/>
      <c r="S78"/>
      <c r="T78"/>
      <c r="U78"/>
      <c r="V78"/>
      <c r="W78"/>
      <c r="X78"/>
      <c r="Y78"/>
      <c r="Z78"/>
    </row>
    <row r="79" spans="1:26">
      <c r="A79"/>
      <c r="B79"/>
      <c r="C79"/>
      <c r="D79"/>
      <c r="E79"/>
      <c r="F79"/>
      <c r="G79"/>
      <c r="H79"/>
      <c r="I79"/>
      <c r="J79"/>
      <c r="K79"/>
      <c r="L79"/>
      <c r="M79"/>
      <c r="N79"/>
      <c r="O79"/>
      <c r="P79"/>
      <c r="Q79"/>
      <c r="R79"/>
      <c r="S79"/>
      <c r="T79"/>
      <c r="U79"/>
      <c r="V79"/>
      <c r="W79"/>
      <c r="X79"/>
      <c r="Y79"/>
      <c r="Z79"/>
    </row>
    <row r="80" spans="1:26">
      <c r="A80"/>
      <c r="B80"/>
      <c r="C80"/>
      <c r="D80"/>
      <c r="E80"/>
      <c r="F80"/>
      <c r="G80"/>
      <c r="H80"/>
      <c r="I80"/>
      <c r="J80"/>
      <c r="K80"/>
      <c r="L80"/>
      <c r="M80"/>
      <c r="N80"/>
      <c r="O80"/>
      <c r="P80"/>
      <c r="Q80"/>
      <c r="R80"/>
      <c r="S80"/>
      <c r="T80"/>
      <c r="U80"/>
      <c r="V80"/>
      <c r="W80"/>
      <c r="X80"/>
      <c r="Y80"/>
      <c r="Z80"/>
    </row>
    <row r="81" spans="1:26">
      <c r="A81"/>
      <c r="B81"/>
      <c r="C81"/>
      <c r="D81"/>
      <c r="E81"/>
      <c r="F81"/>
      <c r="G81"/>
      <c r="H81"/>
      <c r="I81"/>
      <c r="J81"/>
      <c r="K81"/>
      <c r="L81"/>
      <c r="M81"/>
      <c r="N81"/>
      <c r="O81"/>
      <c r="P81"/>
      <c r="Q81"/>
      <c r="R81"/>
      <c r="S81"/>
      <c r="T81"/>
      <c r="U81"/>
      <c r="V81"/>
      <c r="W81"/>
      <c r="X81"/>
      <c r="Y81"/>
      <c r="Z81"/>
    </row>
    <row r="82" spans="1:26">
      <c r="A82"/>
      <c r="B82"/>
      <c r="C82"/>
      <c r="D82"/>
      <c r="E82"/>
      <c r="F82"/>
      <c r="G82"/>
      <c r="H82"/>
      <c r="I82"/>
      <c r="J82"/>
      <c r="K82"/>
      <c r="L82"/>
      <c r="M82"/>
      <c r="N82"/>
      <c r="O82"/>
      <c r="P82"/>
      <c r="Q82"/>
      <c r="R82"/>
      <c r="S82"/>
      <c r="T82"/>
      <c r="U82"/>
      <c r="V82"/>
      <c r="W82"/>
      <c r="X82"/>
      <c r="Y82"/>
      <c r="Z82"/>
    </row>
    <row r="83" spans="1:26">
      <c r="A83"/>
      <c r="B83"/>
      <c r="C83"/>
      <c r="D83"/>
      <c r="E83"/>
      <c r="F83"/>
      <c r="G83"/>
      <c r="H83"/>
      <c r="I83"/>
      <c r="J83"/>
      <c r="K83"/>
      <c r="L83"/>
      <c r="M83"/>
      <c r="N83"/>
      <c r="O83"/>
      <c r="P83"/>
      <c r="Q83"/>
      <c r="R83"/>
      <c r="S83"/>
      <c r="T83"/>
      <c r="U83"/>
      <c r="V83"/>
      <c r="W83"/>
      <c r="X83"/>
      <c r="Y83"/>
      <c r="Z83"/>
    </row>
    <row r="84" spans="1:26">
      <c r="A84"/>
      <c r="B84"/>
      <c r="C84"/>
      <c r="D84"/>
      <c r="E84"/>
      <c r="F84"/>
      <c r="G84"/>
      <c r="H84"/>
      <c r="I84"/>
      <c r="J84"/>
      <c r="K84"/>
      <c r="L84"/>
      <c r="M84"/>
      <c r="N84"/>
      <c r="O84"/>
      <c r="P84"/>
      <c r="Q84"/>
      <c r="R84"/>
      <c r="S84"/>
      <c r="T84"/>
      <c r="U84"/>
      <c r="V84"/>
      <c r="W84"/>
      <c r="X84"/>
      <c r="Y84"/>
      <c r="Z84"/>
    </row>
    <row r="85" spans="1:26">
      <c r="A85"/>
      <c r="B85"/>
      <c r="C85"/>
      <c r="D85"/>
      <c r="E85"/>
      <c r="F85"/>
      <c r="G85"/>
      <c r="H85"/>
      <c r="I85"/>
      <c r="J85"/>
      <c r="K85"/>
      <c r="L85"/>
      <c r="M85"/>
      <c r="N85"/>
      <c r="O85"/>
      <c r="P85"/>
      <c r="Q85"/>
      <c r="R85"/>
      <c r="S85"/>
      <c r="T85"/>
      <c r="U85"/>
      <c r="V85"/>
      <c r="W85"/>
      <c r="X85"/>
      <c r="Y85"/>
      <c r="Z85"/>
    </row>
    <row r="86" spans="1:26">
      <c r="A86"/>
      <c r="B86"/>
      <c r="C86"/>
      <c r="D86"/>
      <c r="E86"/>
      <c r="F86"/>
      <c r="G86"/>
      <c r="H86"/>
      <c r="I86"/>
      <c r="J86"/>
      <c r="K86"/>
      <c r="L86"/>
      <c r="M86"/>
      <c r="N86"/>
      <c r="O86"/>
      <c r="P86"/>
      <c r="Q86"/>
      <c r="R86"/>
      <c r="S86"/>
      <c r="T86"/>
      <c r="U86"/>
      <c r="V86"/>
      <c r="W86"/>
      <c r="X86"/>
      <c r="Y86"/>
      <c r="Z86"/>
    </row>
    <row r="87" spans="1:26">
      <c r="A87"/>
      <c r="B87"/>
      <c r="C87"/>
      <c r="D87"/>
      <c r="E87"/>
      <c r="F87"/>
      <c r="G87"/>
      <c r="H87"/>
      <c r="I87"/>
      <c r="J87"/>
      <c r="K87"/>
      <c r="L87"/>
      <c r="M87"/>
      <c r="N87"/>
      <c r="O87"/>
      <c r="P87"/>
      <c r="Q87"/>
      <c r="R87"/>
      <c r="S87"/>
      <c r="T87"/>
      <c r="U87"/>
      <c r="V87"/>
      <c r="W87"/>
      <c r="X87"/>
      <c r="Y87"/>
      <c r="Z87"/>
    </row>
    <row r="88" spans="1:26">
      <c r="A88"/>
      <c r="B88"/>
      <c r="C88"/>
      <c r="D88"/>
      <c r="E88"/>
      <c r="F88"/>
      <c r="G88"/>
      <c r="H88"/>
      <c r="I88"/>
      <c r="J88"/>
      <c r="K88"/>
      <c r="L88"/>
      <c r="M88"/>
      <c r="N88"/>
      <c r="O88"/>
      <c r="P88"/>
      <c r="Q88"/>
      <c r="R88"/>
      <c r="S88"/>
      <c r="T88"/>
      <c r="U88"/>
      <c r="V88"/>
      <c r="W88"/>
      <c r="X88"/>
      <c r="Y88"/>
      <c r="Z88"/>
    </row>
    <row r="89" spans="1:26">
      <c r="A89"/>
      <c r="B89"/>
      <c r="C89"/>
      <c r="D89"/>
      <c r="E89"/>
      <c r="F89"/>
      <c r="G89"/>
      <c r="H89"/>
      <c r="I89"/>
      <c r="J89"/>
      <c r="K89"/>
      <c r="L89"/>
      <c r="M89"/>
      <c r="N89"/>
      <c r="O89"/>
      <c r="P89"/>
      <c r="Q89"/>
      <c r="R89"/>
      <c r="S89"/>
      <c r="T89"/>
      <c r="U89"/>
      <c r="V89"/>
      <c r="W89"/>
      <c r="X89"/>
      <c r="Y89"/>
      <c r="Z89"/>
    </row>
    <row r="90" spans="1:26">
      <c r="A90"/>
      <c r="B90"/>
      <c r="C90"/>
      <c r="D90"/>
      <c r="E90"/>
      <c r="F90"/>
      <c r="G90"/>
      <c r="H90"/>
      <c r="I90"/>
      <c r="J90"/>
      <c r="K90"/>
      <c r="L90"/>
      <c r="M90"/>
      <c r="N90"/>
      <c r="O90"/>
      <c r="P90"/>
      <c r="Q90"/>
      <c r="R90"/>
      <c r="S90"/>
      <c r="T90"/>
      <c r="U90"/>
      <c r="V90"/>
      <c r="W90"/>
      <c r="X90"/>
      <c r="Y90"/>
      <c r="Z90"/>
    </row>
    <row r="91" spans="1:26">
      <c r="A91"/>
      <c r="B91"/>
      <c r="C91"/>
      <c r="D91"/>
      <c r="E91"/>
      <c r="F91"/>
      <c r="G91"/>
      <c r="H91"/>
      <c r="I91"/>
      <c r="J91"/>
      <c r="K91"/>
      <c r="L91"/>
      <c r="M91"/>
      <c r="N91"/>
      <c r="O91"/>
      <c r="P91"/>
      <c r="Q91"/>
      <c r="R91"/>
      <c r="S91"/>
      <c r="T91"/>
      <c r="U91"/>
      <c r="V91"/>
      <c r="W91"/>
      <c r="X91"/>
      <c r="Y91"/>
      <c r="Z91"/>
    </row>
    <row r="92" spans="1:26">
      <c r="A92"/>
      <c r="B92"/>
      <c r="C92"/>
      <c r="D92"/>
      <c r="E92"/>
      <c r="F92"/>
      <c r="G92"/>
      <c r="H92"/>
      <c r="I92"/>
      <c r="J92"/>
      <c r="K92"/>
      <c r="L92"/>
      <c r="M92"/>
      <c r="N92"/>
      <c r="O92"/>
      <c r="P92"/>
      <c r="Q92"/>
      <c r="R92"/>
      <c r="S92"/>
      <c r="T92"/>
      <c r="U92"/>
      <c r="V92"/>
      <c r="W92"/>
      <c r="X92"/>
      <c r="Y92"/>
      <c r="Z92"/>
    </row>
    <row r="93" spans="1:26">
      <c r="A93"/>
      <c r="B93"/>
      <c r="C93"/>
      <c r="D93"/>
      <c r="E93"/>
      <c r="F93"/>
      <c r="G93"/>
      <c r="H93"/>
      <c r="I93"/>
      <c r="J93"/>
      <c r="K93"/>
      <c r="L93"/>
      <c r="M93"/>
      <c r="N93"/>
      <c r="O93"/>
      <c r="P93"/>
      <c r="Q93"/>
      <c r="R93"/>
      <c r="S93"/>
      <c r="T93"/>
      <c r="U93"/>
      <c r="V93"/>
      <c r="W93"/>
      <c r="X93"/>
      <c r="Y93"/>
      <c r="Z93"/>
    </row>
    <row r="94" spans="1:26">
      <c r="A94"/>
      <c r="B94"/>
      <c r="C94"/>
      <c r="D94"/>
      <c r="E94"/>
      <c r="F94"/>
      <c r="G94"/>
      <c r="H94"/>
      <c r="I94"/>
      <c r="J94"/>
      <c r="K94"/>
      <c r="L94"/>
      <c r="M94"/>
      <c r="N94"/>
      <c r="O94"/>
      <c r="P94"/>
      <c r="Q94"/>
      <c r="R94"/>
      <c r="S94"/>
      <c r="T94"/>
      <c r="U94"/>
      <c r="V94"/>
      <c r="W94"/>
      <c r="X94"/>
      <c r="Y94"/>
      <c r="Z94"/>
    </row>
    <row r="95" spans="1:26">
      <c r="A95"/>
      <c r="B95"/>
      <c r="C95"/>
      <c r="D95"/>
      <c r="E95"/>
      <c r="F95"/>
      <c r="G95"/>
      <c r="H95"/>
      <c r="I95"/>
      <c r="J95"/>
      <c r="K95"/>
      <c r="L95"/>
      <c r="M95"/>
      <c r="N95"/>
      <c r="O95"/>
      <c r="P95"/>
      <c r="Q95"/>
      <c r="R95"/>
      <c r="S95"/>
      <c r="T95"/>
      <c r="U95"/>
      <c r="V95"/>
      <c r="W95"/>
      <c r="X95"/>
      <c r="Y95"/>
      <c r="Z95"/>
    </row>
    <row r="96" spans="1:26">
      <c r="A96"/>
      <c r="B96"/>
      <c r="C96"/>
      <c r="D96"/>
      <c r="E96"/>
      <c r="F96"/>
      <c r="G96"/>
      <c r="H96"/>
      <c r="I96"/>
      <c r="J96"/>
      <c r="K96"/>
      <c r="L96"/>
      <c r="M96"/>
      <c r="N96"/>
      <c r="O96"/>
      <c r="P96"/>
      <c r="Q96"/>
      <c r="R96"/>
      <c r="S96"/>
      <c r="T96"/>
      <c r="U96"/>
      <c r="V96"/>
      <c r="W96"/>
      <c r="X96"/>
      <c r="Y96"/>
      <c r="Z96"/>
    </row>
    <row r="97" spans="1:26">
      <c r="A97"/>
      <c r="B97"/>
      <c r="C97"/>
      <c r="D97"/>
      <c r="E97"/>
      <c r="F97"/>
      <c r="G97"/>
      <c r="H97"/>
      <c r="I97"/>
      <c r="J97"/>
      <c r="K97"/>
      <c r="L97"/>
      <c r="M97"/>
      <c r="N97"/>
      <c r="O97"/>
      <c r="P97"/>
      <c r="Q97"/>
      <c r="R97"/>
      <c r="S97"/>
      <c r="T97"/>
      <c r="U97"/>
      <c r="V97"/>
      <c r="W97"/>
      <c r="X97"/>
      <c r="Y97"/>
      <c r="Z97"/>
    </row>
    <row r="98" spans="1:26">
      <c r="A98"/>
      <c r="B98"/>
      <c r="C98"/>
      <c r="D98"/>
      <c r="E98"/>
      <c r="F98"/>
      <c r="G98"/>
      <c r="H98"/>
      <c r="I98"/>
      <c r="J98"/>
      <c r="K98"/>
      <c r="L98"/>
      <c r="M98"/>
      <c r="N98"/>
      <c r="O98"/>
      <c r="P98"/>
      <c r="Q98"/>
      <c r="R98"/>
      <c r="S98"/>
      <c r="T98"/>
      <c r="U98"/>
      <c r="V98"/>
      <c r="W98"/>
      <c r="X98"/>
      <c r="Y98"/>
      <c r="Z98"/>
    </row>
    <row r="99" spans="1:26">
      <c r="A99"/>
      <c r="B99"/>
      <c r="C99"/>
      <c r="D99"/>
      <c r="E99"/>
      <c r="F99"/>
      <c r="G99"/>
      <c r="H99"/>
      <c r="I99"/>
      <c r="J99"/>
      <c r="K99"/>
      <c r="L99"/>
      <c r="M99"/>
      <c r="N99"/>
      <c r="O99"/>
      <c r="P99"/>
      <c r="Q99"/>
      <c r="R99"/>
      <c r="S99"/>
      <c r="T99"/>
      <c r="U99"/>
      <c r="V99"/>
      <c r="W99"/>
      <c r="X99"/>
      <c r="Y99"/>
      <c r="Z99"/>
    </row>
    <row r="100" spans="1:26">
      <c r="A100"/>
      <c r="B100"/>
      <c r="C100"/>
      <c r="D100"/>
      <c r="E100"/>
      <c r="F100"/>
      <c r="G100"/>
      <c r="H100"/>
      <c r="I100"/>
      <c r="J100"/>
      <c r="K100"/>
      <c r="L100"/>
      <c r="M100"/>
      <c r="N100"/>
      <c r="O100"/>
      <c r="P100"/>
      <c r="Q100"/>
      <c r="R100"/>
      <c r="S100"/>
      <c r="T100"/>
      <c r="U100"/>
      <c r="V100"/>
      <c r="W100"/>
      <c r="X100"/>
      <c r="Y100"/>
      <c r="Z100"/>
    </row>
    <row r="101" spans="1:26">
      <c r="A101"/>
      <c r="B101"/>
      <c r="C101"/>
      <c r="D101"/>
      <c r="E101"/>
      <c r="F101"/>
      <c r="G101"/>
      <c r="H101"/>
      <c r="I101"/>
      <c r="J101"/>
      <c r="K101"/>
      <c r="L101"/>
      <c r="M101"/>
      <c r="N101"/>
      <c r="O101"/>
      <c r="P101"/>
      <c r="Q101"/>
      <c r="R101"/>
      <c r="S101"/>
      <c r="T101"/>
      <c r="U101"/>
      <c r="V101"/>
      <c r="W101"/>
      <c r="X101"/>
      <c r="Y101"/>
      <c r="Z101"/>
    </row>
    <row r="102" spans="1:26">
      <c r="A102"/>
      <c r="B102"/>
      <c r="C102"/>
      <c r="D102"/>
      <c r="E102"/>
      <c r="F102"/>
      <c r="G102"/>
      <c r="H102"/>
      <c r="I102"/>
      <c r="J102"/>
      <c r="K102"/>
      <c r="L102"/>
      <c r="M102"/>
      <c r="N102"/>
      <c r="O102"/>
      <c r="P102"/>
      <c r="Q102"/>
      <c r="R102"/>
      <c r="S102"/>
      <c r="T102"/>
      <c r="U102"/>
      <c r="V102"/>
      <c r="W102"/>
      <c r="X102"/>
      <c r="Y102"/>
      <c r="Z102"/>
    </row>
    <row r="103" spans="1:26">
      <c r="A103"/>
      <c r="B103"/>
      <c r="C103"/>
      <c r="D103"/>
      <c r="E103"/>
      <c r="F103"/>
      <c r="G103"/>
      <c r="H103"/>
      <c r="I103"/>
      <c r="J103"/>
      <c r="K103"/>
      <c r="L103"/>
      <c r="M103"/>
      <c r="N103"/>
      <c r="O103"/>
      <c r="P103"/>
      <c r="Q103"/>
      <c r="R103"/>
      <c r="S103"/>
      <c r="T103"/>
      <c r="U103"/>
      <c r="V103"/>
      <c r="W103"/>
      <c r="X103"/>
      <c r="Y103"/>
      <c r="Z103"/>
    </row>
    <row r="104" spans="1:26">
      <c r="A104"/>
      <c r="B104"/>
      <c r="C104"/>
      <c r="D104"/>
      <c r="E104"/>
      <c r="F104"/>
      <c r="G104"/>
      <c r="H104"/>
      <c r="I104"/>
      <c r="J104"/>
      <c r="K104"/>
      <c r="L104"/>
      <c r="M104"/>
      <c r="N104"/>
      <c r="O104"/>
      <c r="P104"/>
      <c r="Q104"/>
      <c r="R104"/>
      <c r="S104"/>
      <c r="T104"/>
      <c r="U104"/>
      <c r="V104"/>
      <c r="W104"/>
      <c r="X104"/>
      <c r="Y104"/>
      <c r="Z104"/>
    </row>
    <row r="105" spans="1:26">
      <c r="A105"/>
      <c r="B105"/>
      <c r="C105"/>
      <c r="D105"/>
      <c r="E105"/>
      <c r="F105"/>
      <c r="G105"/>
      <c r="H105"/>
      <c r="I105"/>
      <c r="J105"/>
      <c r="K105"/>
      <c r="L105"/>
      <c r="M105"/>
      <c r="N105"/>
      <c r="O105"/>
      <c r="P105"/>
      <c r="Q105"/>
      <c r="R105"/>
      <c r="S105"/>
      <c r="T105"/>
      <c r="U105"/>
      <c r="V105"/>
      <c r="W105"/>
      <c r="X105"/>
      <c r="Y105"/>
      <c r="Z105"/>
    </row>
    <row r="106" spans="1:26">
      <c r="A106"/>
      <c r="B106"/>
      <c r="C106"/>
      <c r="D106"/>
      <c r="E106"/>
      <c r="F106"/>
      <c r="G106"/>
      <c r="H106"/>
      <c r="I106"/>
      <c r="J106"/>
      <c r="K106"/>
      <c r="L106"/>
      <c r="M106"/>
      <c r="N106"/>
      <c r="O106"/>
      <c r="P106"/>
      <c r="Q106"/>
      <c r="R106"/>
      <c r="S106"/>
      <c r="T106"/>
      <c r="U106"/>
      <c r="V106"/>
      <c r="W106"/>
      <c r="X106"/>
      <c r="Y106"/>
      <c r="Z106"/>
    </row>
    <row r="107" spans="1:26">
      <c r="A107"/>
      <c r="B107"/>
      <c r="C107"/>
      <c r="D107"/>
      <c r="E107"/>
      <c r="F107"/>
      <c r="G107"/>
      <c r="H107"/>
      <c r="I107"/>
      <c r="J107"/>
      <c r="K107"/>
      <c r="L107"/>
      <c r="M107"/>
      <c r="N107"/>
      <c r="O107"/>
      <c r="P107"/>
      <c r="Q107"/>
      <c r="R107"/>
      <c r="S107"/>
      <c r="T107"/>
      <c r="U107"/>
      <c r="V107"/>
      <c r="W107"/>
      <c r="X107"/>
      <c r="Y107"/>
      <c r="Z107"/>
    </row>
    <row r="108" spans="1:26">
      <c r="A108"/>
      <c r="B108"/>
      <c r="C108"/>
      <c r="D108"/>
      <c r="E108"/>
      <c r="F108"/>
      <c r="G108"/>
      <c r="H108"/>
      <c r="I108"/>
      <c r="J108"/>
      <c r="K108"/>
      <c r="L108"/>
      <c r="M108"/>
      <c r="N108"/>
      <c r="O108"/>
      <c r="P108"/>
      <c r="Q108"/>
      <c r="R108"/>
      <c r="S108"/>
      <c r="T108"/>
      <c r="U108"/>
      <c r="V108"/>
      <c r="W108"/>
      <c r="X108"/>
      <c r="Y108"/>
      <c r="Z108"/>
    </row>
    <row r="109" spans="1:26">
      <c r="A109"/>
      <c r="B109"/>
      <c r="C109"/>
      <c r="D109"/>
      <c r="E109"/>
      <c r="F109"/>
      <c r="G109"/>
      <c r="H109"/>
      <c r="I109"/>
      <c r="J109"/>
      <c r="K109"/>
      <c r="L109"/>
      <c r="M109"/>
      <c r="N109"/>
      <c r="O109"/>
      <c r="P109"/>
      <c r="Q109"/>
      <c r="R109"/>
      <c r="S109"/>
      <c r="T109"/>
      <c r="U109"/>
      <c r="V109"/>
      <c r="W109"/>
      <c r="X109"/>
      <c r="Y109"/>
      <c r="Z109"/>
    </row>
    <row r="110" spans="1:26">
      <c r="A110"/>
      <c r="B110"/>
      <c r="C110"/>
      <c r="D110"/>
      <c r="E110"/>
      <c r="F110"/>
      <c r="G110"/>
      <c r="H110"/>
      <c r="I110"/>
      <c r="J110"/>
      <c r="K110"/>
      <c r="L110"/>
      <c r="M110"/>
      <c r="N110"/>
      <c r="O110"/>
      <c r="P110"/>
      <c r="Q110"/>
      <c r="R110"/>
      <c r="S110"/>
      <c r="T110"/>
      <c r="U110"/>
      <c r="V110"/>
      <c r="W110"/>
      <c r="X110"/>
      <c r="Y110"/>
      <c r="Z110"/>
    </row>
    <row r="111" spans="1:26">
      <c r="A111"/>
      <c r="B111"/>
      <c r="C111"/>
      <c r="D111"/>
      <c r="E111"/>
      <c r="F111"/>
      <c r="G111"/>
      <c r="H111"/>
      <c r="I111"/>
      <c r="J111"/>
      <c r="K111"/>
      <c r="L111"/>
      <c r="M111"/>
      <c r="N111"/>
      <c r="O111"/>
      <c r="P111"/>
      <c r="Q111"/>
      <c r="R111"/>
      <c r="S111"/>
      <c r="T111"/>
      <c r="U111"/>
      <c r="V111"/>
      <c r="W111"/>
      <c r="X111"/>
      <c r="Y111"/>
      <c r="Z111"/>
    </row>
    <row r="112" spans="1:26">
      <c r="A112"/>
      <c r="B112"/>
      <c r="C112"/>
      <c r="D112"/>
      <c r="E112"/>
      <c r="F112"/>
      <c r="G112"/>
      <c r="H112"/>
      <c r="I112"/>
      <c r="J112"/>
      <c r="K112"/>
      <c r="L112"/>
      <c r="M112"/>
      <c r="N112"/>
      <c r="O112"/>
      <c r="P112"/>
      <c r="Q112"/>
      <c r="R112"/>
      <c r="S112"/>
      <c r="T112"/>
      <c r="U112"/>
      <c r="V112"/>
      <c r="W112"/>
      <c r="X112"/>
      <c r="Y112"/>
      <c r="Z112"/>
    </row>
    <row r="113" spans="1:26">
      <c r="A113"/>
      <c r="B113"/>
      <c r="C113"/>
      <c r="D113"/>
      <c r="E113"/>
      <c r="F113"/>
      <c r="G113"/>
      <c r="H113"/>
      <c r="I113"/>
      <c r="J113"/>
      <c r="K113"/>
      <c r="L113"/>
      <c r="M113"/>
      <c r="N113"/>
      <c r="O113"/>
      <c r="P113"/>
      <c r="Q113"/>
      <c r="R113"/>
      <c r="S113"/>
      <c r="T113"/>
      <c r="U113"/>
      <c r="V113"/>
      <c r="W113"/>
      <c r="X113"/>
      <c r="Y113"/>
      <c r="Z113"/>
    </row>
    <row r="114" spans="1:26">
      <c r="A114"/>
      <c r="B114"/>
      <c r="C114"/>
      <c r="D114"/>
      <c r="E114"/>
      <c r="F114"/>
      <c r="G114"/>
      <c r="H114"/>
      <c r="I114"/>
      <c r="J114"/>
      <c r="K114"/>
      <c r="L114"/>
      <c r="M114"/>
      <c r="N114"/>
      <c r="O114"/>
      <c r="P114"/>
      <c r="Q114"/>
      <c r="R114"/>
      <c r="S114"/>
      <c r="T114"/>
      <c r="U114"/>
      <c r="V114"/>
      <c r="W114"/>
      <c r="X114"/>
      <c r="Y114"/>
      <c r="Z114"/>
    </row>
    <row r="115" spans="1:26">
      <c r="A115"/>
      <c r="B115"/>
      <c r="C115"/>
      <c r="D115"/>
      <c r="E115"/>
      <c r="F115"/>
      <c r="G115"/>
      <c r="H115"/>
      <c r="I115"/>
      <c r="J115"/>
      <c r="K115"/>
      <c r="L115"/>
      <c r="M115"/>
      <c r="N115"/>
      <c r="O115"/>
      <c r="P115"/>
      <c r="Q115"/>
      <c r="R115"/>
      <c r="S115"/>
      <c r="T115"/>
      <c r="U115"/>
      <c r="V115"/>
      <c r="W115"/>
      <c r="X115"/>
      <c r="Y115"/>
      <c r="Z115"/>
    </row>
    <row r="116" spans="1:26">
      <c r="A116"/>
      <c r="B116"/>
      <c r="C116"/>
      <c r="D116"/>
      <c r="E116"/>
      <c r="F116"/>
      <c r="G116"/>
      <c r="H116"/>
      <c r="I116"/>
      <c r="J116"/>
      <c r="K116"/>
      <c r="L116"/>
      <c r="M116"/>
      <c r="N116"/>
      <c r="O116"/>
      <c r="P116"/>
      <c r="Q116"/>
      <c r="R116"/>
      <c r="S116"/>
      <c r="T116"/>
      <c r="U116"/>
      <c r="V116"/>
      <c r="W116"/>
      <c r="X116"/>
      <c r="Y116"/>
      <c r="Z116"/>
    </row>
    <row r="117" spans="1:26">
      <c r="A117"/>
      <c r="B117"/>
      <c r="C117"/>
      <c r="D117"/>
      <c r="E117"/>
      <c r="F117"/>
      <c r="G117"/>
      <c r="H117"/>
      <c r="I117"/>
      <c r="J117"/>
      <c r="K117"/>
      <c r="L117"/>
      <c r="M117"/>
      <c r="N117"/>
      <c r="O117"/>
      <c r="P117"/>
      <c r="Q117"/>
      <c r="R117"/>
      <c r="S117"/>
      <c r="T117"/>
      <c r="U117"/>
      <c r="V117"/>
      <c r="W117"/>
      <c r="X117"/>
      <c r="Y117"/>
      <c r="Z117"/>
    </row>
    <row r="118" spans="1:26">
      <c r="A118"/>
      <c r="B118"/>
      <c r="C118"/>
      <c r="D118"/>
      <c r="E118"/>
      <c r="F118"/>
      <c r="G118"/>
      <c r="H118"/>
      <c r="I118"/>
      <c r="J118"/>
      <c r="K118"/>
      <c r="L118"/>
      <c r="M118"/>
      <c r="N118"/>
      <c r="O118"/>
      <c r="P118"/>
      <c r="Q118"/>
      <c r="R118"/>
      <c r="S118"/>
      <c r="T118"/>
      <c r="U118"/>
      <c r="V118"/>
      <c r="W118"/>
      <c r="X118"/>
      <c r="Y118"/>
      <c r="Z118"/>
    </row>
    <row r="119" spans="1:26">
      <c r="A119"/>
      <c r="B119"/>
      <c r="C119"/>
      <c r="D119"/>
      <c r="E119"/>
      <c r="F119"/>
      <c r="G119"/>
      <c r="H119"/>
      <c r="I119"/>
      <c r="J119"/>
      <c r="K119"/>
      <c r="L119"/>
      <c r="M119"/>
      <c r="N119"/>
      <c r="O119"/>
      <c r="P119"/>
      <c r="Q119"/>
      <c r="R119"/>
      <c r="S119"/>
      <c r="T119"/>
      <c r="U119"/>
      <c r="V119"/>
      <c r="W119"/>
      <c r="X119"/>
      <c r="Y119"/>
      <c r="Z119"/>
    </row>
    <row r="120" spans="1:26">
      <c r="A120"/>
      <c r="B120"/>
      <c r="C120"/>
      <c r="D120"/>
      <c r="E120"/>
      <c r="F120"/>
      <c r="G120"/>
      <c r="H120"/>
      <c r="I120"/>
      <c r="J120"/>
      <c r="K120"/>
      <c r="L120"/>
      <c r="M120"/>
      <c r="N120"/>
      <c r="O120"/>
      <c r="P120"/>
      <c r="Q120"/>
      <c r="R120"/>
      <c r="S120"/>
      <c r="T120"/>
      <c r="U120"/>
      <c r="V120"/>
      <c r="W120"/>
      <c r="X120"/>
      <c r="Y120"/>
      <c r="Z120"/>
    </row>
    <row r="121" spans="1:26">
      <c r="A121"/>
      <c r="B121"/>
      <c r="C121"/>
      <c r="D121"/>
      <c r="E121"/>
      <c r="F121"/>
      <c r="G121"/>
      <c r="H121"/>
      <c r="I121"/>
      <c r="J121"/>
      <c r="K121"/>
      <c r="L121"/>
      <c r="M121"/>
      <c r="N121"/>
      <c r="O121"/>
      <c r="P121"/>
      <c r="Q121"/>
      <c r="R121"/>
      <c r="S121"/>
      <c r="T121"/>
      <c r="U121"/>
      <c r="V121"/>
      <c r="W121"/>
      <c r="X121"/>
      <c r="Y121"/>
      <c r="Z121"/>
    </row>
    <row r="122" spans="1:26">
      <c r="A122"/>
      <c r="B122"/>
      <c r="C122"/>
      <c r="D122"/>
      <c r="E122"/>
      <c r="F122"/>
      <c r="G122"/>
      <c r="H122"/>
      <c r="I122"/>
      <c r="J122"/>
      <c r="K122"/>
      <c r="L122"/>
      <c r="M122"/>
      <c r="N122"/>
      <c r="O122"/>
      <c r="P122"/>
      <c r="Q122"/>
      <c r="R122"/>
      <c r="S122"/>
      <c r="T122"/>
      <c r="U122"/>
      <c r="V122"/>
      <c r="W122"/>
      <c r="X122"/>
      <c r="Y122"/>
      <c r="Z122"/>
    </row>
    <row r="123" spans="1:26">
      <c r="A123"/>
      <c r="B123"/>
      <c r="C123"/>
      <c r="D123"/>
      <c r="E123"/>
      <c r="F123"/>
      <c r="G123"/>
      <c r="H123"/>
      <c r="I123"/>
      <c r="J123"/>
      <c r="K123"/>
      <c r="L123"/>
      <c r="M123"/>
      <c r="N123"/>
      <c r="O123"/>
      <c r="P123"/>
      <c r="Q123"/>
      <c r="R123"/>
      <c r="S123"/>
      <c r="T123"/>
      <c r="U123"/>
      <c r="V123"/>
      <c r="W123"/>
      <c r="X123"/>
      <c r="Y123"/>
      <c r="Z123"/>
    </row>
    <row r="124" spans="1:26">
      <c r="A124"/>
      <c r="B124"/>
      <c r="C124"/>
      <c r="D124"/>
      <c r="E124"/>
      <c r="F124"/>
      <c r="G124"/>
      <c r="H124"/>
      <c r="I124"/>
      <c r="J124"/>
      <c r="K124"/>
      <c r="L124"/>
      <c r="M124"/>
      <c r="N124"/>
      <c r="O124"/>
      <c r="P124"/>
      <c r="Q124"/>
      <c r="R124"/>
      <c r="S124"/>
      <c r="T124"/>
      <c r="U124"/>
      <c r="V124"/>
      <c r="W124"/>
      <c r="X124"/>
      <c r="Y124"/>
      <c r="Z124"/>
    </row>
    <row r="125" spans="1:26">
      <c r="A125"/>
      <c r="B125"/>
      <c r="C125"/>
      <c r="D125"/>
      <c r="E125"/>
      <c r="F125"/>
      <c r="G125"/>
      <c r="H125"/>
      <c r="I125"/>
      <c r="J125"/>
      <c r="K125"/>
      <c r="L125"/>
      <c r="M125"/>
      <c r="N125"/>
      <c r="O125"/>
      <c r="P125"/>
      <c r="Q125"/>
      <c r="R125"/>
      <c r="S125"/>
      <c r="T125"/>
      <c r="U125"/>
      <c r="V125"/>
      <c r="W125"/>
      <c r="X125"/>
      <c r="Y125"/>
      <c r="Z125"/>
    </row>
    <row r="126" spans="1:26">
      <c r="A126"/>
      <c r="B126"/>
      <c r="C126"/>
      <c r="D126"/>
      <c r="E126"/>
      <c r="F126"/>
      <c r="G126"/>
      <c r="H126"/>
      <c r="I126"/>
      <c r="J126"/>
      <c r="K126"/>
      <c r="L126"/>
      <c r="M126"/>
      <c r="N126"/>
      <c r="O126"/>
      <c r="P126"/>
      <c r="Q126"/>
      <c r="R126"/>
      <c r="S126"/>
      <c r="T126"/>
      <c r="U126"/>
      <c r="V126"/>
      <c r="W126"/>
      <c r="X126"/>
      <c r="Y126"/>
      <c r="Z126"/>
    </row>
    <row r="127" spans="1:26">
      <c r="A127"/>
      <c r="B127"/>
      <c r="C127"/>
      <c r="D127"/>
      <c r="E127"/>
      <c r="F127"/>
      <c r="G127"/>
      <c r="H127"/>
      <c r="I127"/>
      <c r="J127"/>
      <c r="K127"/>
      <c r="L127"/>
      <c r="M127"/>
      <c r="N127"/>
      <c r="O127"/>
      <c r="P127"/>
      <c r="Q127"/>
      <c r="R127"/>
      <c r="S127"/>
      <c r="T127"/>
      <c r="U127"/>
      <c r="V127"/>
      <c r="W127"/>
      <c r="X127"/>
      <c r="Y127"/>
      <c r="Z127"/>
    </row>
    <row r="128" spans="1:26">
      <c r="A128"/>
      <c r="B128"/>
      <c r="C128"/>
      <c r="D128"/>
      <c r="E128"/>
      <c r="F128"/>
      <c r="G128"/>
      <c r="H128"/>
      <c r="I128"/>
      <c r="J128"/>
      <c r="K128"/>
      <c r="L128"/>
      <c r="M128"/>
      <c r="N128"/>
      <c r="O128"/>
      <c r="P128"/>
      <c r="Q128"/>
      <c r="R128"/>
      <c r="S128"/>
      <c r="T128"/>
      <c r="U128"/>
      <c r="V128"/>
      <c r="W128"/>
      <c r="X128"/>
      <c r="Y128"/>
      <c r="Z128"/>
    </row>
    <row r="129" spans="1:26">
      <c r="A129"/>
      <c r="B129"/>
      <c r="C129"/>
      <c r="D129"/>
      <c r="E129"/>
      <c r="F129"/>
      <c r="G129"/>
      <c r="H129"/>
      <c r="I129"/>
      <c r="J129"/>
      <c r="K129"/>
      <c r="L129"/>
      <c r="M129"/>
      <c r="N129"/>
      <c r="O129"/>
      <c r="P129"/>
      <c r="Q129"/>
      <c r="R129"/>
      <c r="S129"/>
      <c r="T129"/>
      <c r="U129"/>
      <c r="V129"/>
      <c r="W129"/>
      <c r="X129"/>
      <c r="Y129"/>
      <c r="Z129"/>
    </row>
    <row r="130" spans="1:26">
      <c r="A130"/>
      <c r="B130"/>
      <c r="C130"/>
      <c r="D130"/>
      <c r="E130"/>
      <c r="F130"/>
      <c r="G130"/>
      <c r="H130"/>
      <c r="I130"/>
      <c r="J130"/>
      <c r="K130"/>
      <c r="L130"/>
      <c r="M130"/>
      <c r="N130"/>
      <c r="O130"/>
      <c r="P130"/>
      <c r="Q130"/>
      <c r="R130"/>
      <c r="S130"/>
      <c r="T130"/>
      <c r="U130"/>
      <c r="V130"/>
      <c r="W130"/>
      <c r="X130"/>
      <c r="Y130"/>
      <c r="Z130"/>
    </row>
    <row r="131" spans="1:26">
      <c r="A131"/>
      <c r="B131"/>
      <c r="C131"/>
      <c r="D131"/>
      <c r="E131"/>
      <c r="F131"/>
      <c r="G131"/>
      <c r="H131"/>
      <c r="I131"/>
      <c r="J131"/>
      <c r="K131"/>
      <c r="L131"/>
      <c r="M131"/>
      <c r="N131"/>
      <c r="O131"/>
      <c r="P131"/>
      <c r="Q131"/>
      <c r="R131"/>
      <c r="S131"/>
      <c r="T131"/>
      <c r="U131"/>
      <c r="V131"/>
      <c r="W131"/>
      <c r="X131"/>
      <c r="Y131"/>
      <c r="Z131"/>
    </row>
    <row r="132" spans="1:26">
      <c r="A132"/>
      <c r="B132"/>
      <c r="C132"/>
      <c r="D132"/>
      <c r="E132"/>
      <c r="F132"/>
      <c r="G132"/>
      <c r="H132"/>
      <c r="I132"/>
      <c r="J132"/>
      <c r="K132"/>
      <c r="L132"/>
      <c r="M132"/>
      <c r="N132"/>
      <c r="O132"/>
      <c r="P132"/>
      <c r="Q132"/>
      <c r="R132"/>
      <c r="S132"/>
      <c r="T132"/>
      <c r="U132"/>
      <c r="V132"/>
      <c r="W132"/>
      <c r="X132"/>
      <c r="Y132"/>
      <c r="Z132"/>
    </row>
    <row r="133" spans="1:26">
      <c r="A133"/>
      <c r="B133"/>
      <c r="C133"/>
      <c r="D133"/>
      <c r="E133"/>
      <c r="F133"/>
      <c r="G133"/>
      <c r="H133"/>
      <c r="I133"/>
      <c r="J133"/>
      <c r="K133"/>
      <c r="L133"/>
      <c r="M133"/>
      <c r="N133"/>
      <c r="O133"/>
      <c r="P133"/>
      <c r="Q133"/>
      <c r="R133"/>
      <c r="S133"/>
      <c r="T133"/>
      <c r="U133"/>
      <c r="V133"/>
      <c r="W133"/>
      <c r="X133"/>
      <c r="Y133"/>
      <c r="Z133"/>
    </row>
    <row r="134" spans="1:26">
      <c r="A134"/>
      <c r="B134"/>
      <c r="C134"/>
      <c r="D134"/>
      <c r="E134"/>
      <c r="F134"/>
      <c r="G134"/>
      <c r="H134"/>
      <c r="I134"/>
      <c r="J134"/>
      <c r="K134"/>
      <c r="L134"/>
      <c r="M134"/>
      <c r="N134"/>
      <c r="O134"/>
      <c r="P134"/>
      <c r="Q134"/>
      <c r="R134"/>
      <c r="S134"/>
      <c r="T134"/>
      <c r="U134"/>
      <c r="V134"/>
      <c r="W134"/>
      <c r="X134"/>
      <c r="Y134"/>
      <c r="Z134"/>
    </row>
    <row r="135" spans="1:26">
      <c r="A135"/>
      <c r="B135"/>
      <c r="C135"/>
      <c r="D135"/>
      <c r="E135"/>
      <c r="F135"/>
      <c r="G135"/>
      <c r="H135"/>
      <c r="I135"/>
      <c r="J135"/>
      <c r="K135"/>
      <c r="L135"/>
      <c r="M135"/>
      <c r="N135"/>
      <c r="O135"/>
      <c r="P135"/>
      <c r="Q135"/>
      <c r="R135"/>
      <c r="S135"/>
      <c r="T135"/>
      <c r="U135"/>
      <c r="V135"/>
      <c r="W135"/>
      <c r="X135"/>
      <c r="Y135"/>
      <c r="Z135"/>
    </row>
    <row r="136" spans="1:26">
      <c r="A136"/>
      <c r="B136"/>
      <c r="C136"/>
      <c r="D136"/>
      <c r="E136"/>
      <c r="F136"/>
      <c r="G136"/>
      <c r="H136"/>
      <c r="I136"/>
      <c r="J136"/>
      <c r="K136"/>
      <c r="L136"/>
      <c r="M136"/>
      <c r="N136"/>
      <c r="O136"/>
      <c r="P136"/>
      <c r="Q136"/>
      <c r="R136"/>
      <c r="S136"/>
      <c r="T136"/>
      <c r="U136"/>
      <c r="V136"/>
      <c r="W136"/>
      <c r="X136"/>
      <c r="Y136"/>
      <c r="Z136"/>
    </row>
    <row r="137" spans="1:26">
      <c r="A137"/>
      <c r="B137"/>
      <c r="C137"/>
      <c r="D137"/>
      <c r="E137"/>
      <c r="F137"/>
      <c r="G137"/>
      <c r="H137"/>
      <c r="I137"/>
      <c r="J137"/>
      <c r="K137"/>
      <c r="L137"/>
      <c r="M137"/>
      <c r="N137"/>
      <c r="O137"/>
      <c r="P137"/>
      <c r="Q137"/>
      <c r="R137"/>
      <c r="S137"/>
      <c r="T137"/>
      <c r="U137"/>
      <c r="V137"/>
      <c r="W137"/>
      <c r="X137"/>
      <c r="Y137"/>
      <c r="Z137"/>
    </row>
    <row r="138" spans="1:26">
      <c r="A138"/>
      <c r="B138"/>
      <c r="C138"/>
      <c r="D138"/>
      <c r="E138"/>
      <c r="F138"/>
      <c r="G138"/>
      <c r="H138"/>
      <c r="I138"/>
      <c r="J138"/>
      <c r="K138"/>
      <c r="L138"/>
      <c r="M138"/>
      <c r="N138"/>
      <c r="O138"/>
      <c r="P138"/>
      <c r="Q138"/>
      <c r="R138"/>
      <c r="S138"/>
      <c r="T138"/>
      <c r="U138"/>
      <c r="V138"/>
      <c r="W138"/>
      <c r="X138"/>
      <c r="Y138"/>
      <c r="Z138"/>
    </row>
    <row r="139" spans="1:26">
      <c r="A139"/>
      <c r="B139"/>
      <c r="C139"/>
      <c r="D139"/>
      <c r="E139"/>
      <c r="F139"/>
      <c r="G139"/>
      <c r="H139"/>
      <c r="I139"/>
      <c r="J139"/>
      <c r="K139"/>
      <c r="L139"/>
      <c r="M139"/>
      <c r="N139"/>
      <c r="O139"/>
      <c r="P139"/>
      <c r="Q139"/>
      <c r="R139"/>
      <c r="S139"/>
      <c r="T139"/>
      <c r="U139"/>
      <c r="V139"/>
      <c r="W139"/>
      <c r="X139"/>
      <c r="Y139"/>
      <c r="Z139"/>
    </row>
    <row r="140" spans="1:26">
      <c r="A140"/>
      <c r="B140"/>
      <c r="C140"/>
      <c r="D140"/>
      <c r="E140"/>
      <c r="F140"/>
      <c r="G140"/>
      <c r="H140"/>
      <c r="I140"/>
      <c r="J140"/>
      <c r="K140"/>
      <c r="L140"/>
      <c r="M140"/>
      <c r="N140"/>
      <c r="O140"/>
      <c r="P140"/>
      <c r="Q140"/>
      <c r="R140"/>
      <c r="S140"/>
      <c r="T140"/>
      <c r="U140"/>
      <c r="V140"/>
      <c r="W140"/>
      <c r="X140"/>
      <c r="Y140"/>
      <c r="Z140"/>
    </row>
    <row r="141" spans="1:26">
      <c r="A141"/>
      <c r="B141"/>
      <c r="C141"/>
      <c r="D141"/>
      <c r="E141"/>
      <c r="F141"/>
      <c r="G141"/>
      <c r="H141"/>
      <c r="I141"/>
      <c r="J141"/>
      <c r="K141"/>
      <c r="L141"/>
      <c r="M141"/>
      <c r="N141"/>
      <c r="O141"/>
      <c r="P141"/>
      <c r="Q141"/>
      <c r="R141"/>
      <c r="S141"/>
      <c r="T141"/>
      <c r="U141"/>
      <c r="V141"/>
      <c r="W141"/>
      <c r="X141"/>
      <c r="Y141"/>
      <c r="Z141"/>
    </row>
    <row r="142" spans="1:26">
      <c r="A142"/>
      <c r="B142"/>
      <c r="C142"/>
      <c r="D142"/>
      <c r="E142"/>
      <c r="F142"/>
      <c r="G142"/>
      <c r="H142"/>
      <c r="I142"/>
      <c r="J142"/>
      <c r="K142"/>
      <c r="L142"/>
      <c r="M142"/>
      <c r="N142"/>
      <c r="O142"/>
      <c r="P142"/>
      <c r="Q142"/>
      <c r="R142"/>
      <c r="S142"/>
      <c r="T142"/>
      <c r="U142"/>
      <c r="V142"/>
      <c r="W142"/>
      <c r="X142"/>
      <c r="Y142"/>
      <c r="Z142"/>
    </row>
    <row r="143" spans="1:26">
      <c r="A143"/>
      <c r="B143"/>
      <c r="C143"/>
      <c r="D143"/>
      <c r="E143"/>
      <c r="F143"/>
      <c r="G143"/>
      <c r="H143"/>
      <c r="I143"/>
      <c r="J143"/>
      <c r="K143"/>
      <c r="L143"/>
      <c r="M143"/>
      <c r="N143"/>
      <c r="O143"/>
      <c r="P143"/>
      <c r="Q143"/>
      <c r="R143"/>
      <c r="S143"/>
      <c r="T143"/>
      <c r="U143"/>
      <c r="V143"/>
      <c r="W143"/>
      <c r="X143"/>
      <c r="Y143"/>
      <c r="Z143"/>
    </row>
    <row r="144" spans="1:26">
      <c r="A144"/>
      <c r="B144"/>
      <c r="C144"/>
      <c r="D144"/>
      <c r="E144"/>
      <c r="F144"/>
      <c r="G144"/>
      <c r="H144"/>
      <c r="I144"/>
      <c r="J144"/>
      <c r="K144"/>
      <c r="L144"/>
      <c r="M144"/>
      <c r="N144"/>
      <c r="O144"/>
      <c r="P144"/>
      <c r="Q144"/>
      <c r="R144"/>
      <c r="S144"/>
      <c r="T144"/>
      <c r="U144"/>
      <c r="V144"/>
      <c r="W144"/>
      <c r="X144"/>
      <c r="Y144"/>
      <c r="Z144"/>
    </row>
    <row r="145" spans="1:26">
      <c r="A145"/>
      <c r="B145"/>
      <c r="C145"/>
      <c r="D145"/>
      <c r="E145"/>
      <c r="F145"/>
      <c r="G145"/>
      <c r="H145"/>
      <c r="I145"/>
      <c r="J145"/>
      <c r="K145"/>
      <c r="L145"/>
      <c r="M145"/>
      <c r="N145"/>
      <c r="O145"/>
      <c r="P145"/>
      <c r="Q145"/>
      <c r="R145"/>
      <c r="S145"/>
      <c r="T145"/>
      <c r="U145"/>
      <c r="V145"/>
      <c r="W145"/>
      <c r="X145"/>
      <c r="Y145"/>
      <c r="Z145"/>
    </row>
    <row r="146" spans="1:26">
      <c r="A146"/>
      <c r="B146"/>
      <c r="C146"/>
      <c r="D146"/>
      <c r="E146"/>
      <c r="F146"/>
      <c r="G146"/>
      <c r="H146"/>
      <c r="I146"/>
      <c r="J146"/>
      <c r="K146"/>
      <c r="L146"/>
      <c r="M146"/>
      <c r="N146"/>
      <c r="O146"/>
      <c r="P146"/>
      <c r="Q146"/>
      <c r="R146"/>
      <c r="S146"/>
      <c r="T146"/>
      <c r="U146"/>
      <c r="V146"/>
      <c r="W146"/>
      <c r="X146"/>
      <c r="Y146"/>
      <c r="Z146"/>
    </row>
    <row r="147" spans="1:26">
      <c r="A147"/>
      <c r="B147"/>
      <c r="C147"/>
      <c r="D147"/>
      <c r="E147"/>
      <c r="F147"/>
      <c r="G147"/>
      <c r="H147"/>
      <c r="I147"/>
      <c r="J147"/>
      <c r="K147"/>
      <c r="L147"/>
      <c r="M147"/>
      <c r="N147"/>
      <c r="O147"/>
      <c r="P147"/>
      <c r="Q147"/>
      <c r="R147"/>
      <c r="S147"/>
      <c r="T147"/>
      <c r="U147"/>
      <c r="V147"/>
      <c r="W147"/>
      <c r="X147"/>
      <c r="Y147"/>
      <c r="Z147"/>
    </row>
    <row r="148" spans="1:26">
      <c r="A148"/>
      <c r="B148"/>
      <c r="C148"/>
      <c r="D148"/>
      <c r="E148"/>
      <c r="F148"/>
      <c r="G148"/>
      <c r="H148"/>
      <c r="I148"/>
      <c r="J148"/>
      <c r="K148"/>
      <c r="L148"/>
      <c r="M148"/>
      <c r="N148"/>
      <c r="O148"/>
      <c r="P148"/>
      <c r="Q148"/>
      <c r="R148"/>
      <c r="S148"/>
      <c r="T148"/>
      <c r="U148"/>
      <c r="V148"/>
      <c r="W148"/>
      <c r="X148"/>
      <c r="Y148"/>
      <c r="Z148"/>
    </row>
    <row r="149" spans="1:26">
      <c r="A149"/>
      <c r="B149"/>
      <c r="C149"/>
      <c r="D149"/>
      <c r="E149"/>
      <c r="F149"/>
      <c r="G149"/>
      <c r="H149"/>
      <c r="I149"/>
      <c r="J149"/>
      <c r="K149"/>
      <c r="L149"/>
      <c r="M149"/>
      <c r="N149"/>
      <c r="O149"/>
      <c r="P149"/>
      <c r="Q149"/>
      <c r="R149"/>
      <c r="S149"/>
      <c r="T149"/>
      <c r="U149"/>
      <c r="V149"/>
      <c r="W149"/>
      <c r="X149"/>
      <c r="Y149"/>
      <c r="Z149"/>
    </row>
    <row r="150" spans="1:26">
      <c r="A150"/>
      <c r="B150"/>
      <c r="C150"/>
      <c r="D150"/>
      <c r="E150"/>
      <c r="F150"/>
      <c r="G150"/>
      <c r="H150"/>
      <c r="I150"/>
      <c r="J150"/>
      <c r="K150"/>
      <c r="L150"/>
      <c r="M150"/>
      <c r="N150"/>
      <c r="O150"/>
      <c r="P150"/>
      <c r="Q150"/>
      <c r="R150"/>
      <c r="S150"/>
      <c r="T150"/>
      <c r="U150"/>
      <c r="V150"/>
      <c r="W150"/>
      <c r="X150"/>
      <c r="Y150"/>
      <c r="Z150"/>
    </row>
    <row r="151" spans="1:26">
      <c r="A151"/>
      <c r="B151"/>
      <c r="C151"/>
      <c r="D151"/>
      <c r="E151"/>
      <c r="F151"/>
      <c r="G151"/>
      <c r="H151"/>
      <c r="I151"/>
      <c r="J151"/>
      <c r="K151"/>
      <c r="L151"/>
      <c r="M151"/>
      <c r="N151"/>
      <c r="O151"/>
      <c r="P151"/>
      <c r="Q151"/>
      <c r="R151"/>
      <c r="S151"/>
      <c r="T151"/>
      <c r="U151"/>
      <c r="V151"/>
      <c r="W151"/>
      <c r="X151"/>
      <c r="Y151"/>
      <c r="Z151"/>
    </row>
    <row r="152" spans="1:26">
      <c r="A152"/>
      <c r="B152"/>
      <c r="C152"/>
      <c r="D152"/>
      <c r="E152"/>
      <c r="F152"/>
      <c r="G152"/>
      <c r="H152"/>
      <c r="I152"/>
      <c r="J152"/>
      <c r="K152"/>
      <c r="L152"/>
      <c r="M152"/>
      <c r="N152"/>
      <c r="O152"/>
      <c r="P152"/>
      <c r="Q152"/>
      <c r="R152"/>
      <c r="S152"/>
      <c r="T152"/>
      <c r="U152"/>
      <c r="V152"/>
      <c r="W152"/>
      <c r="X152"/>
      <c r="Y152"/>
      <c r="Z152"/>
    </row>
    <row r="153" spans="1:26">
      <c r="A153"/>
      <c r="B153"/>
      <c r="C153"/>
      <c r="D153"/>
      <c r="E153"/>
      <c r="F153"/>
      <c r="G153"/>
      <c r="H153"/>
      <c r="I153"/>
      <c r="J153"/>
      <c r="K153"/>
      <c r="L153"/>
      <c r="M153"/>
      <c r="N153"/>
      <c r="O153"/>
      <c r="P153"/>
      <c r="Q153"/>
      <c r="R153"/>
      <c r="S153"/>
      <c r="T153"/>
      <c r="U153"/>
      <c r="V153"/>
      <c r="W153"/>
      <c r="X153"/>
      <c r="Y153"/>
      <c r="Z153"/>
    </row>
    <row r="154" spans="1:26">
      <c r="A154"/>
      <c r="B154"/>
      <c r="C154"/>
      <c r="D154"/>
      <c r="E154"/>
      <c r="F154"/>
      <c r="G154"/>
      <c r="H154"/>
      <c r="I154"/>
      <c r="J154"/>
      <c r="K154"/>
      <c r="L154"/>
      <c r="M154"/>
      <c r="N154"/>
      <c r="O154"/>
      <c r="P154"/>
      <c r="Q154"/>
      <c r="R154"/>
      <c r="S154"/>
      <c r="T154"/>
      <c r="U154"/>
      <c r="V154"/>
      <c r="W154"/>
      <c r="X154"/>
      <c r="Y154"/>
      <c r="Z154"/>
    </row>
    <row r="155" spans="1:26">
      <c r="A155"/>
      <c r="B155"/>
      <c r="C155"/>
      <c r="D155"/>
      <c r="E155"/>
      <c r="F155"/>
      <c r="G155"/>
      <c r="H155"/>
      <c r="I155"/>
      <c r="J155"/>
      <c r="K155"/>
      <c r="L155"/>
      <c r="M155"/>
      <c r="N155"/>
      <c r="O155"/>
      <c r="P155"/>
      <c r="Q155"/>
      <c r="R155"/>
      <c r="S155"/>
      <c r="T155"/>
      <c r="U155"/>
      <c r="V155"/>
      <c r="W155"/>
      <c r="X155"/>
      <c r="Y155"/>
      <c r="Z155"/>
    </row>
    <row r="156" spans="1:26">
      <c r="A156"/>
      <c r="B156"/>
      <c r="C156"/>
      <c r="D156"/>
      <c r="E156"/>
      <c r="F156"/>
      <c r="G156"/>
      <c r="H156"/>
      <c r="I156"/>
      <c r="J156"/>
      <c r="K156"/>
      <c r="L156"/>
      <c r="M156"/>
      <c r="N156"/>
      <c r="O156"/>
      <c r="P156"/>
      <c r="Q156"/>
      <c r="R156"/>
      <c r="S156"/>
      <c r="T156"/>
      <c r="U156"/>
      <c r="V156"/>
      <c r="W156"/>
      <c r="X156"/>
      <c r="Y156"/>
      <c r="Z156"/>
    </row>
    <row r="157" spans="1:26">
      <c r="A157"/>
      <c r="B157"/>
      <c r="C157"/>
      <c r="D157"/>
      <c r="E157"/>
      <c r="F157"/>
      <c r="G157"/>
      <c r="H157"/>
      <c r="I157"/>
      <c r="J157"/>
      <c r="K157"/>
      <c r="L157"/>
      <c r="M157"/>
      <c r="N157"/>
      <c r="O157"/>
      <c r="P157"/>
      <c r="Q157"/>
      <c r="R157"/>
      <c r="S157"/>
      <c r="T157"/>
      <c r="U157"/>
      <c r="V157"/>
      <c r="W157"/>
      <c r="X157"/>
      <c r="Y157"/>
      <c r="Z157"/>
    </row>
    <row r="158" spans="1:26">
      <c r="A158"/>
      <c r="B158"/>
      <c r="C158"/>
      <c r="D158"/>
      <c r="E158"/>
      <c r="F158"/>
      <c r="G158"/>
      <c r="H158"/>
      <c r="I158"/>
      <c r="J158"/>
      <c r="K158"/>
      <c r="L158"/>
      <c r="M158"/>
      <c r="N158"/>
      <c r="O158"/>
      <c r="P158"/>
      <c r="Q158"/>
      <c r="R158"/>
      <c r="S158"/>
      <c r="T158"/>
      <c r="U158"/>
      <c r="V158"/>
      <c r="W158"/>
      <c r="X158"/>
      <c r="Y158"/>
      <c r="Z158"/>
    </row>
    <row r="159" spans="1:26">
      <c r="A159"/>
      <c r="B159"/>
      <c r="C159"/>
      <c r="D159"/>
      <c r="E159"/>
      <c r="F159"/>
      <c r="G159"/>
      <c r="H159"/>
      <c r="I159"/>
      <c r="J159"/>
      <c r="K159"/>
      <c r="L159"/>
      <c r="M159"/>
      <c r="N159"/>
      <c r="O159"/>
      <c r="P159"/>
      <c r="Q159"/>
      <c r="R159"/>
      <c r="S159"/>
      <c r="T159"/>
      <c r="U159"/>
      <c r="V159"/>
      <c r="W159"/>
      <c r="X159"/>
      <c r="Y159"/>
      <c r="Z159"/>
    </row>
    <row r="160" spans="1:26">
      <c r="A160"/>
      <c r="B160"/>
      <c r="C160"/>
      <c r="D160"/>
      <c r="E160"/>
      <c r="F160"/>
      <c r="G160"/>
      <c r="H160"/>
      <c r="I160"/>
      <c r="J160"/>
      <c r="K160"/>
      <c r="L160"/>
      <c r="M160"/>
      <c r="N160"/>
      <c r="O160"/>
      <c r="P160"/>
      <c r="Q160"/>
      <c r="R160"/>
      <c r="S160"/>
      <c r="T160"/>
      <c r="U160"/>
      <c r="V160"/>
      <c r="W160"/>
      <c r="X160"/>
      <c r="Y160"/>
      <c r="Z160"/>
    </row>
    <row r="161" spans="1:26">
      <c r="A161"/>
      <c r="B161"/>
      <c r="C161"/>
      <c r="D161"/>
      <c r="E161"/>
      <c r="F161"/>
      <c r="G161"/>
      <c r="H161"/>
      <c r="I161"/>
      <c r="J161"/>
      <c r="K161"/>
      <c r="L161"/>
      <c r="M161"/>
      <c r="N161"/>
      <c r="O161"/>
      <c r="P161"/>
      <c r="Q161"/>
      <c r="R161"/>
      <c r="S161"/>
      <c r="T161"/>
      <c r="U161"/>
      <c r="V161"/>
      <c r="W161"/>
      <c r="X161"/>
      <c r="Y161"/>
      <c r="Z161"/>
    </row>
    <row r="162" spans="1:26">
      <c r="A162"/>
      <c r="B162"/>
      <c r="C162"/>
      <c r="D162"/>
      <c r="E162"/>
      <c r="F162"/>
      <c r="G162"/>
      <c r="H162"/>
      <c r="I162"/>
      <c r="J162"/>
      <c r="K162"/>
      <c r="L162"/>
      <c r="M162"/>
      <c r="N162"/>
      <c r="O162"/>
      <c r="P162"/>
      <c r="Q162"/>
      <c r="R162"/>
      <c r="S162"/>
      <c r="T162"/>
      <c r="U162"/>
      <c r="V162"/>
      <c r="W162"/>
      <c r="X162"/>
      <c r="Y162"/>
      <c r="Z162"/>
    </row>
    <row r="163" spans="1:26">
      <c r="A163"/>
      <c r="B163"/>
      <c r="C163"/>
      <c r="D163"/>
      <c r="E163"/>
      <c r="F163"/>
      <c r="G163"/>
      <c r="H163"/>
      <c r="I163"/>
      <c r="J163"/>
      <c r="K163"/>
      <c r="L163"/>
      <c r="M163"/>
      <c r="N163"/>
      <c r="O163"/>
      <c r="P163"/>
      <c r="Q163"/>
      <c r="R163"/>
      <c r="S163"/>
      <c r="T163"/>
      <c r="U163"/>
      <c r="V163"/>
      <c r="W163"/>
      <c r="X163"/>
      <c r="Y163"/>
      <c r="Z163"/>
    </row>
    <row r="164" spans="1:26">
      <c r="A164"/>
      <c r="B164"/>
      <c r="C164"/>
      <c r="D164"/>
      <c r="E164"/>
      <c r="F164"/>
      <c r="G164"/>
      <c r="H164"/>
      <c r="I164"/>
      <c r="J164"/>
      <c r="K164"/>
      <c r="L164"/>
      <c r="M164"/>
      <c r="N164"/>
      <c r="O164"/>
      <c r="P164"/>
      <c r="Q164"/>
      <c r="R164"/>
      <c r="S164"/>
      <c r="T164"/>
      <c r="U164"/>
      <c r="V164"/>
      <c r="W164"/>
      <c r="X164"/>
      <c r="Y164"/>
      <c r="Z164"/>
    </row>
    <row r="165" spans="1:26">
      <c r="A165"/>
      <c r="B165"/>
      <c r="C165"/>
      <c r="D165"/>
      <c r="E165"/>
      <c r="F165"/>
      <c r="G165"/>
      <c r="H165"/>
      <c r="I165"/>
      <c r="J165"/>
      <c r="K165"/>
      <c r="L165"/>
      <c r="M165"/>
      <c r="N165"/>
      <c r="O165"/>
      <c r="P165"/>
      <c r="Q165"/>
      <c r="R165"/>
      <c r="S165"/>
      <c r="T165"/>
      <c r="U165"/>
      <c r="V165"/>
      <c r="W165"/>
      <c r="X165"/>
      <c r="Y165"/>
      <c r="Z165"/>
    </row>
    <row r="166" spans="1:26">
      <c r="A166"/>
      <c r="B166"/>
      <c r="C166"/>
      <c r="D166"/>
      <c r="E166"/>
      <c r="F166"/>
      <c r="G166"/>
      <c r="H166"/>
      <c r="I166"/>
      <c r="J166"/>
      <c r="K166"/>
      <c r="L166"/>
      <c r="M166"/>
      <c r="N166"/>
      <c r="O166"/>
      <c r="P166"/>
      <c r="Q166"/>
      <c r="R166"/>
      <c r="S166"/>
      <c r="T166"/>
      <c r="U166"/>
      <c r="V166"/>
      <c r="W166"/>
      <c r="X166"/>
      <c r="Y166"/>
      <c r="Z166"/>
    </row>
    <row r="167" spans="1:26">
      <c r="A167"/>
      <c r="B167"/>
      <c r="C167"/>
      <c r="D167"/>
      <c r="E167"/>
      <c r="F167"/>
      <c r="G167"/>
      <c r="H167"/>
      <c r="I167"/>
      <c r="J167"/>
      <c r="K167"/>
      <c r="L167"/>
      <c r="M167"/>
      <c r="N167"/>
      <c r="O167"/>
      <c r="P167"/>
      <c r="Q167"/>
      <c r="R167"/>
      <c r="S167"/>
      <c r="T167"/>
      <c r="U167"/>
      <c r="V167"/>
      <c r="W167"/>
      <c r="X167"/>
      <c r="Y167"/>
      <c r="Z167"/>
    </row>
    <row r="168" spans="1:26">
      <c r="A168"/>
      <c r="B168"/>
      <c r="C168"/>
      <c r="D168"/>
      <c r="E168"/>
      <c r="F168"/>
      <c r="G168"/>
      <c r="H168"/>
      <c r="I168"/>
      <c r="J168"/>
      <c r="K168"/>
      <c r="L168"/>
      <c r="M168"/>
      <c r="N168"/>
      <c r="O168"/>
      <c r="P168"/>
      <c r="Q168"/>
      <c r="R168"/>
      <c r="S168"/>
      <c r="T168"/>
      <c r="U168"/>
      <c r="V168"/>
      <c r="W168"/>
      <c r="X168"/>
      <c r="Y168"/>
      <c r="Z168"/>
    </row>
    <row r="169" spans="1:26">
      <c r="A169"/>
      <c r="B169"/>
      <c r="C169"/>
      <c r="D169"/>
      <c r="E169"/>
      <c r="F169"/>
      <c r="G169"/>
      <c r="H169"/>
      <c r="I169"/>
      <c r="J169"/>
      <c r="K169"/>
      <c r="L169"/>
      <c r="M169"/>
      <c r="N169"/>
      <c r="O169"/>
      <c r="P169"/>
      <c r="Q169"/>
      <c r="R169"/>
      <c r="S169"/>
      <c r="T169"/>
      <c r="U169"/>
      <c r="V169"/>
      <c r="W169"/>
      <c r="X169"/>
      <c r="Y169"/>
      <c r="Z169"/>
    </row>
    <row r="170" spans="1:26">
      <c r="A170"/>
      <c r="B170"/>
      <c r="C170"/>
      <c r="D170"/>
      <c r="E170"/>
      <c r="F170"/>
      <c r="G170"/>
      <c r="H170"/>
      <c r="I170"/>
      <c r="J170"/>
      <c r="K170"/>
      <c r="L170"/>
      <c r="M170"/>
      <c r="N170"/>
      <c r="O170"/>
      <c r="P170"/>
      <c r="Q170"/>
      <c r="R170"/>
      <c r="S170"/>
      <c r="T170"/>
      <c r="U170"/>
      <c r="V170"/>
      <c r="W170"/>
      <c r="X170"/>
      <c r="Y170"/>
      <c r="Z170"/>
    </row>
    <row r="171" spans="1:26">
      <c r="A171"/>
      <c r="B171"/>
      <c r="C171"/>
      <c r="D171"/>
      <c r="E171"/>
      <c r="F171"/>
      <c r="G171"/>
      <c r="H171"/>
      <c r="I171"/>
      <c r="J171"/>
      <c r="K171"/>
      <c r="L171"/>
      <c r="M171"/>
      <c r="N171"/>
      <c r="O171"/>
      <c r="P171"/>
      <c r="Q171"/>
      <c r="R171"/>
      <c r="S171"/>
      <c r="T171"/>
      <c r="U171"/>
      <c r="V171"/>
      <c r="W171"/>
      <c r="X171"/>
      <c r="Y171"/>
      <c r="Z171"/>
    </row>
    <row r="172" spans="1:26">
      <c r="A172"/>
      <c r="B172"/>
      <c r="C172"/>
      <c r="D172"/>
      <c r="E172"/>
      <c r="F172"/>
      <c r="G172"/>
      <c r="H172"/>
      <c r="I172"/>
      <c r="J172"/>
      <c r="K172"/>
      <c r="L172"/>
      <c r="M172"/>
      <c r="N172"/>
      <c r="O172"/>
      <c r="P172"/>
      <c r="Q172"/>
      <c r="R172"/>
      <c r="S172"/>
      <c r="T172"/>
      <c r="U172"/>
      <c r="V172"/>
      <c r="W172"/>
      <c r="X172"/>
      <c r="Y172"/>
      <c r="Z172"/>
    </row>
    <row r="173" spans="1:26">
      <c r="A173"/>
      <c r="B173"/>
      <c r="C173"/>
      <c r="D173"/>
      <c r="E173"/>
      <c r="F173"/>
      <c r="G173"/>
      <c r="H173"/>
      <c r="I173"/>
      <c r="J173"/>
      <c r="K173"/>
      <c r="L173"/>
      <c r="M173"/>
      <c r="N173"/>
      <c r="O173"/>
      <c r="P173"/>
      <c r="Q173"/>
      <c r="R173"/>
      <c r="S173"/>
      <c r="T173"/>
      <c r="U173"/>
      <c r="V173"/>
      <c r="W173"/>
      <c r="X173"/>
      <c r="Y173"/>
      <c r="Z173"/>
    </row>
    <row r="174" spans="1:26">
      <c r="A174"/>
      <c r="B174"/>
      <c r="C174"/>
      <c r="D174"/>
      <c r="E174"/>
      <c r="F174"/>
      <c r="G174"/>
      <c r="H174"/>
      <c r="I174"/>
      <c r="J174"/>
      <c r="K174"/>
      <c r="L174"/>
      <c r="M174"/>
      <c r="N174"/>
      <c r="O174"/>
      <c r="P174"/>
      <c r="Q174"/>
      <c r="R174"/>
      <c r="S174"/>
      <c r="T174"/>
      <c r="U174"/>
      <c r="V174"/>
      <c r="W174"/>
      <c r="X174"/>
      <c r="Y174"/>
      <c r="Z174"/>
    </row>
    <row r="175" spans="1:26">
      <c r="A175"/>
      <c r="B175"/>
      <c r="C175"/>
      <c r="D175"/>
      <c r="E175"/>
      <c r="F175"/>
      <c r="G175"/>
      <c r="H175"/>
      <c r="I175"/>
      <c r="J175"/>
      <c r="K175"/>
      <c r="L175"/>
      <c r="M175"/>
      <c r="N175"/>
      <c r="O175"/>
      <c r="P175"/>
      <c r="Q175"/>
      <c r="R175"/>
      <c r="S175"/>
      <c r="T175"/>
      <c r="U175"/>
      <c r="V175"/>
      <c r="W175"/>
      <c r="X175"/>
      <c r="Y175"/>
      <c r="Z175"/>
    </row>
    <row r="176" spans="1:26">
      <c r="A176"/>
      <c r="B176"/>
      <c r="C176"/>
      <c r="D176"/>
      <c r="E176"/>
      <c r="F176"/>
      <c r="G176"/>
      <c r="H176"/>
      <c r="I176"/>
      <c r="J176"/>
      <c r="K176"/>
      <c r="L176"/>
      <c r="M176"/>
      <c r="N176"/>
      <c r="O176"/>
      <c r="P176"/>
      <c r="Q176"/>
      <c r="R176"/>
      <c r="S176"/>
      <c r="T176"/>
      <c r="U176"/>
      <c r="V176"/>
      <c r="W176"/>
      <c r="X176"/>
      <c r="Y176"/>
      <c r="Z176"/>
    </row>
    <row r="177" spans="1:26">
      <c r="A177"/>
      <c r="B177"/>
      <c r="C177"/>
      <c r="D177"/>
      <c r="E177"/>
      <c r="F177"/>
      <c r="G177"/>
      <c r="H177"/>
      <c r="I177"/>
      <c r="J177"/>
      <c r="K177"/>
      <c r="L177"/>
      <c r="M177"/>
      <c r="N177"/>
      <c r="O177"/>
      <c r="P177"/>
      <c r="Q177"/>
      <c r="R177"/>
      <c r="S177"/>
      <c r="T177"/>
      <c r="U177"/>
      <c r="V177"/>
      <c r="W177"/>
      <c r="X177"/>
      <c r="Y177"/>
      <c r="Z177"/>
    </row>
    <row r="178" spans="1:26">
      <c r="A178"/>
      <c r="B178"/>
      <c r="C178"/>
      <c r="D178"/>
      <c r="E178"/>
      <c r="F178"/>
      <c r="G178"/>
      <c r="H178"/>
      <c r="I178"/>
      <c r="J178"/>
      <c r="K178"/>
      <c r="L178"/>
      <c r="M178"/>
      <c r="N178"/>
      <c r="O178"/>
      <c r="P178"/>
      <c r="Q178"/>
      <c r="R178"/>
      <c r="S178"/>
      <c r="T178"/>
      <c r="U178"/>
      <c r="V178"/>
      <c r="W178"/>
      <c r="X178"/>
      <c r="Y178"/>
      <c r="Z178"/>
    </row>
    <row r="179" spans="1:26">
      <c r="A179"/>
      <c r="B179"/>
      <c r="C179"/>
      <c r="D179"/>
      <c r="E179"/>
      <c r="F179"/>
      <c r="G179"/>
      <c r="H179"/>
      <c r="I179"/>
      <c r="J179"/>
      <c r="K179"/>
      <c r="L179"/>
      <c r="M179"/>
      <c r="N179"/>
      <c r="O179"/>
      <c r="P179"/>
      <c r="Q179"/>
      <c r="R179"/>
      <c r="S179"/>
      <c r="T179"/>
      <c r="U179"/>
      <c r="V179"/>
      <c r="W179"/>
      <c r="X179"/>
      <c r="Y179"/>
      <c r="Z179"/>
    </row>
    <row r="180" spans="1:26">
      <c r="A180"/>
      <c r="B180"/>
      <c r="C180"/>
      <c r="D180"/>
      <c r="E180"/>
      <c r="F180"/>
      <c r="G180"/>
      <c r="H180"/>
      <c r="I180"/>
      <c r="J180"/>
      <c r="K180"/>
      <c r="L180"/>
      <c r="M180"/>
      <c r="N180"/>
      <c r="O180"/>
      <c r="P180"/>
      <c r="Q180"/>
      <c r="R180"/>
      <c r="S180"/>
      <c r="T180"/>
      <c r="U180"/>
      <c r="V180"/>
      <c r="W180"/>
      <c r="X180"/>
      <c r="Y180"/>
      <c r="Z180"/>
    </row>
    <row r="181" spans="1:26">
      <c r="A181"/>
      <c r="B181"/>
      <c r="C181"/>
      <c r="D181"/>
      <c r="E181"/>
      <c r="F181"/>
      <c r="G181"/>
      <c r="H181"/>
      <c r="I181"/>
      <c r="J181"/>
      <c r="K181"/>
      <c r="L181"/>
      <c r="M181"/>
      <c r="N181"/>
      <c r="O181"/>
      <c r="P181"/>
      <c r="Q181"/>
      <c r="R181"/>
      <c r="S181"/>
      <c r="T181"/>
      <c r="U181"/>
      <c r="V181"/>
      <c r="W181"/>
      <c r="X181"/>
      <c r="Y181"/>
      <c r="Z181"/>
    </row>
    <row r="182" spans="1:26">
      <c r="A182"/>
      <c r="B182"/>
      <c r="C182"/>
      <c r="D182"/>
      <c r="E182"/>
      <c r="F182"/>
      <c r="G182"/>
      <c r="H182"/>
      <c r="I182"/>
      <c r="J182"/>
      <c r="K182"/>
      <c r="L182"/>
      <c r="M182"/>
      <c r="N182"/>
      <c r="O182"/>
      <c r="P182"/>
      <c r="Q182"/>
      <c r="R182"/>
      <c r="S182"/>
      <c r="T182"/>
      <c r="U182"/>
      <c r="V182"/>
      <c r="W182"/>
      <c r="X182"/>
      <c r="Y182"/>
      <c r="Z182"/>
    </row>
    <row r="183" spans="1:26">
      <c r="A183"/>
      <c r="B183"/>
      <c r="C183"/>
      <c r="D183"/>
      <c r="E183"/>
      <c r="F183"/>
      <c r="G183"/>
      <c r="H183"/>
      <c r="I183"/>
      <c r="J183"/>
      <c r="K183"/>
      <c r="L183"/>
      <c r="M183"/>
      <c r="N183"/>
      <c r="O183"/>
      <c r="P183"/>
      <c r="Q183"/>
      <c r="R183"/>
      <c r="S183"/>
      <c r="T183"/>
      <c r="U183"/>
      <c r="V183"/>
      <c r="W183"/>
      <c r="X183"/>
      <c r="Y183"/>
      <c r="Z183"/>
    </row>
    <row r="184" spans="1:26">
      <c r="A184"/>
      <c r="B184"/>
      <c r="C184"/>
      <c r="D184"/>
      <c r="E184"/>
      <c r="F184"/>
      <c r="G184"/>
      <c r="H184"/>
      <c r="I184"/>
      <c r="J184"/>
      <c r="K184"/>
      <c r="L184"/>
      <c r="M184"/>
      <c r="N184"/>
      <c r="O184"/>
      <c r="P184"/>
      <c r="Q184"/>
      <c r="R184"/>
      <c r="S184"/>
      <c r="T184"/>
      <c r="U184"/>
      <c r="V184"/>
      <c r="W184"/>
      <c r="X184"/>
      <c r="Y184"/>
      <c r="Z184"/>
    </row>
    <row r="185" spans="1:26">
      <c r="A185"/>
      <c r="B185"/>
      <c r="C185"/>
      <c r="D185"/>
      <c r="E185"/>
      <c r="F185"/>
      <c r="G185"/>
      <c r="H185"/>
      <c r="I185"/>
      <c r="J185"/>
      <c r="K185"/>
      <c r="L185"/>
      <c r="M185"/>
      <c r="N185"/>
      <c r="O185"/>
      <c r="P185"/>
      <c r="Q185"/>
      <c r="R185"/>
      <c r="S185"/>
      <c r="T185"/>
      <c r="U185"/>
      <c r="V185"/>
      <c r="W185"/>
      <c r="X185"/>
      <c r="Y185"/>
      <c r="Z185"/>
    </row>
    <row r="186" spans="1:26">
      <c r="A186"/>
      <c r="B186"/>
      <c r="C186"/>
      <c r="D186"/>
      <c r="E186"/>
      <c r="F186"/>
      <c r="G186"/>
      <c r="H186"/>
      <c r="I186"/>
      <c r="J186"/>
      <c r="K186"/>
      <c r="L186"/>
      <c r="M186"/>
      <c r="N186"/>
      <c r="O186"/>
      <c r="P186"/>
      <c r="Q186"/>
      <c r="R186"/>
      <c r="S186"/>
      <c r="T186"/>
      <c r="U186"/>
      <c r="V186"/>
      <c r="W186"/>
      <c r="X186"/>
      <c r="Y186"/>
      <c r="Z186"/>
    </row>
    <row r="187" spans="1:26">
      <c r="A187"/>
      <c r="B187"/>
      <c r="C187"/>
      <c r="D187"/>
      <c r="E187"/>
      <c r="F187"/>
      <c r="G187"/>
      <c r="H187"/>
      <c r="I187"/>
      <c r="J187"/>
      <c r="K187"/>
      <c r="L187"/>
      <c r="M187"/>
      <c r="N187"/>
      <c r="O187"/>
      <c r="P187"/>
      <c r="Q187"/>
      <c r="R187"/>
      <c r="S187"/>
      <c r="T187"/>
      <c r="U187"/>
      <c r="V187"/>
      <c r="W187"/>
      <c r="X187"/>
      <c r="Y187"/>
      <c r="Z187"/>
    </row>
    <row r="188" spans="1:26">
      <c r="A188"/>
      <c r="B188"/>
      <c r="C188"/>
      <c r="D188"/>
      <c r="E188"/>
      <c r="F188"/>
      <c r="G188"/>
      <c r="H188"/>
      <c r="I188"/>
      <c r="J188"/>
      <c r="K188"/>
      <c r="L188"/>
      <c r="M188"/>
      <c r="N188"/>
      <c r="O188"/>
      <c r="P188"/>
      <c r="Q188"/>
      <c r="R188"/>
      <c r="S188"/>
      <c r="T188"/>
      <c r="U188"/>
      <c r="V188"/>
      <c r="W188"/>
      <c r="X188"/>
      <c r="Y188"/>
      <c r="Z188"/>
    </row>
    <row r="189" spans="1:26">
      <c r="A189"/>
      <c r="B189"/>
      <c r="C189"/>
      <c r="D189"/>
      <c r="E189"/>
      <c r="F189"/>
      <c r="G189"/>
      <c r="H189"/>
      <c r="I189"/>
      <c r="J189"/>
      <c r="K189"/>
      <c r="L189"/>
      <c r="M189"/>
      <c r="N189"/>
      <c r="O189"/>
      <c r="P189"/>
      <c r="Q189"/>
      <c r="R189"/>
      <c r="S189"/>
      <c r="T189"/>
      <c r="U189"/>
      <c r="V189"/>
      <c r="W189"/>
      <c r="X189"/>
      <c r="Y189"/>
      <c r="Z189"/>
    </row>
    <row r="190" spans="1:26">
      <c r="A190"/>
      <c r="B190"/>
      <c r="C190"/>
      <c r="D190"/>
      <c r="E190"/>
      <c r="F190"/>
      <c r="G190"/>
      <c r="H190"/>
      <c r="I190"/>
      <c r="J190"/>
      <c r="K190"/>
      <c r="L190"/>
      <c r="M190"/>
      <c r="N190"/>
      <c r="O190"/>
      <c r="P190"/>
      <c r="Q190"/>
      <c r="R190"/>
      <c r="S190"/>
      <c r="T190"/>
      <c r="U190"/>
      <c r="V190"/>
      <c r="W190"/>
      <c r="X190"/>
      <c r="Y190"/>
      <c r="Z190"/>
    </row>
    <row r="191" spans="1:26">
      <c r="A191"/>
      <c r="B191"/>
      <c r="C191"/>
      <c r="D191"/>
      <c r="E191"/>
      <c r="F191"/>
      <c r="G191"/>
      <c r="H191"/>
      <c r="I191"/>
      <c r="J191"/>
      <c r="K191"/>
      <c r="L191"/>
      <c r="M191"/>
      <c r="N191"/>
      <c r="O191"/>
      <c r="P191"/>
      <c r="Q191"/>
      <c r="R191"/>
      <c r="S191"/>
      <c r="T191"/>
      <c r="U191"/>
      <c r="V191"/>
      <c r="W191"/>
      <c r="X191"/>
      <c r="Y191"/>
      <c r="Z191"/>
    </row>
    <row r="192" spans="1:26">
      <c r="A192"/>
      <c r="B192"/>
      <c r="C192"/>
      <c r="D192"/>
      <c r="E192"/>
      <c r="F192"/>
      <c r="G192"/>
      <c r="H192"/>
      <c r="I192"/>
      <c r="J192"/>
      <c r="K192"/>
      <c r="L192"/>
      <c r="M192"/>
      <c r="N192"/>
      <c r="O192"/>
      <c r="P192"/>
      <c r="Q192"/>
      <c r="R192"/>
      <c r="S192"/>
      <c r="T192"/>
      <c r="U192"/>
      <c r="V192"/>
      <c r="W192"/>
      <c r="X192"/>
      <c r="Y192"/>
      <c r="Z192"/>
    </row>
    <row r="193" spans="1:26">
      <c r="A193"/>
      <c r="B193"/>
      <c r="C193"/>
      <c r="D193"/>
      <c r="E193"/>
      <c r="F193"/>
      <c r="G193"/>
      <c r="H193"/>
      <c r="I193"/>
      <c r="J193"/>
      <c r="K193"/>
      <c r="L193"/>
      <c r="M193"/>
      <c r="N193"/>
      <c r="O193"/>
      <c r="P193"/>
      <c r="Q193"/>
      <c r="R193"/>
      <c r="S193"/>
      <c r="T193"/>
      <c r="U193"/>
      <c r="V193"/>
      <c r="W193"/>
      <c r="X193"/>
      <c r="Y193"/>
      <c r="Z193"/>
    </row>
    <row r="194" spans="1:26">
      <c r="A194"/>
      <c r="B194"/>
      <c r="C194"/>
      <c r="D194"/>
      <c r="E194"/>
      <c r="F194"/>
      <c r="G194"/>
      <c r="H194"/>
      <c r="I194"/>
      <c r="J194"/>
      <c r="K194"/>
      <c r="L194"/>
      <c r="M194"/>
      <c r="N194"/>
      <c r="O194"/>
      <c r="P194"/>
      <c r="Q194"/>
      <c r="R194"/>
      <c r="S194"/>
      <c r="T194"/>
      <c r="U194"/>
      <c r="V194"/>
      <c r="W194"/>
      <c r="X194"/>
      <c r="Y194"/>
      <c r="Z194"/>
    </row>
    <row r="195" spans="1:26">
      <c r="A195"/>
      <c r="B195"/>
      <c r="C195"/>
      <c r="D195"/>
      <c r="E195"/>
      <c r="F195"/>
      <c r="G195"/>
      <c r="H195"/>
      <c r="I195"/>
      <c r="J195"/>
      <c r="K195"/>
      <c r="L195"/>
      <c r="M195"/>
      <c r="N195"/>
      <c r="O195"/>
      <c r="P195"/>
      <c r="Q195"/>
      <c r="R195"/>
      <c r="S195"/>
      <c r="T195"/>
      <c r="U195"/>
      <c r="V195"/>
      <c r="W195"/>
      <c r="X195"/>
      <c r="Y195"/>
      <c r="Z195"/>
    </row>
    <row r="196" spans="1:26">
      <c r="A196"/>
      <c r="B196"/>
      <c r="C196"/>
      <c r="D196"/>
      <c r="E196"/>
      <c r="F196"/>
      <c r="G196"/>
      <c r="H196"/>
      <c r="I196"/>
      <c r="J196"/>
      <c r="K196"/>
      <c r="L196"/>
      <c r="M196"/>
      <c r="N196"/>
      <c r="O196"/>
      <c r="P196"/>
      <c r="Q196"/>
      <c r="R196"/>
      <c r="S196"/>
      <c r="T196"/>
      <c r="U196"/>
      <c r="V196"/>
      <c r="W196"/>
      <c r="X196"/>
      <c r="Y196"/>
      <c r="Z196"/>
    </row>
    <row r="197" spans="1:26">
      <c r="A197"/>
      <c r="B197"/>
      <c r="C197"/>
      <c r="D197"/>
      <c r="E197"/>
      <c r="F197"/>
      <c r="G197"/>
      <c r="H197"/>
      <c r="I197"/>
      <c r="J197"/>
      <c r="K197"/>
      <c r="L197"/>
      <c r="M197"/>
      <c r="N197"/>
      <c r="O197"/>
      <c r="P197"/>
      <c r="Q197"/>
      <c r="R197"/>
      <c r="S197"/>
      <c r="T197"/>
      <c r="U197"/>
      <c r="V197"/>
      <c r="W197"/>
      <c r="X197"/>
      <c r="Y197"/>
      <c r="Z197"/>
    </row>
    <row r="198" spans="1:26">
      <c r="A198"/>
      <c r="B198"/>
      <c r="C198"/>
      <c r="D198"/>
      <c r="E198"/>
      <c r="F198"/>
      <c r="G198"/>
      <c r="H198"/>
      <c r="I198"/>
      <c r="J198"/>
      <c r="K198"/>
      <c r="L198"/>
      <c r="M198"/>
      <c r="N198"/>
      <c r="O198"/>
      <c r="P198"/>
      <c r="Q198"/>
      <c r="R198"/>
      <c r="S198"/>
      <c r="T198"/>
      <c r="U198"/>
      <c r="V198"/>
      <c r="W198"/>
      <c r="X198"/>
      <c r="Y198"/>
      <c r="Z198"/>
    </row>
    <row r="199" spans="1:26">
      <c r="A199"/>
      <c r="B199"/>
      <c r="C199"/>
      <c r="D199"/>
      <c r="E199"/>
      <c r="F199"/>
      <c r="G199"/>
      <c r="H199"/>
      <c r="I199"/>
      <c r="J199"/>
      <c r="K199"/>
      <c r="L199"/>
      <c r="M199"/>
      <c r="N199"/>
      <c r="O199"/>
      <c r="P199"/>
      <c r="Q199"/>
      <c r="R199"/>
      <c r="S199"/>
      <c r="T199"/>
      <c r="U199"/>
      <c r="V199"/>
      <c r="W199"/>
      <c r="X199"/>
      <c r="Y199"/>
      <c r="Z199"/>
    </row>
    <row r="200" spans="1:26">
      <c r="A200"/>
      <c r="B200"/>
      <c r="C200"/>
      <c r="D200"/>
      <c r="E200"/>
      <c r="F200"/>
      <c r="G200"/>
      <c r="H200"/>
      <c r="I200"/>
      <c r="J200"/>
      <c r="K200"/>
      <c r="L200"/>
      <c r="M200"/>
      <c r="N200"/>
      <c r="O200"/>
      <c r="P200"/>
      <c r="Q200"/>
      <c r="R200"/>
      <c r="S200"/>
      <c r="T200"/>
      <c r="U200"/>
      <c r="V200"/>
      <c r="W200"/>
      <c r="X200"/>
      <c r="Y200"/>
      <c r="Z200"/>
    </row>
  </sheetData>
  <protectedRanges>
    <protectedRange sqref="T16:T17" name="区域1_1_2_2_1_2"/>
  </protectedRanges>
  <mergeCells count="6">
    <mergeCell ref="A37:S37"/>
    <mergeCell ref="A2:S2"/>
    <mergeCell ref="A5:S5"/>
    <mergeCell ref="A22:S22"/>
    <mergeCell ref="A28:S28"/>
    <mergeCell ref="A31:S31"/>
  </mergeCells>
  <phoneticPr fontId="2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424C5-8A14-4B02-ABC0-49506599DF45}">
  <dimension ref="A1:Z60"/>
  <sheetViews>
    <sheetView topLeftCell="D1" zoomScale="85" zoomScaleNormal="85" workbookViewId="0">
      <pane ySplit="1" topLeftCell="A2" activePane="bottomLeft" state="frozen"/>
      <selection activeCell="D1" sqref="D1"/>
      <selection pane="bottomLeft" activeCell="D12" sqref="D12"/>
    </sheetView>
  </sheetViews>
  <sheetFormatPr baseColWidth="10" defaultColWidth="9" defaultRowHeight="15"/>
  <cols>
    <col min="1" max="1" width="21.6640625" style="32" customWidth="1"/>
    <col min="2" max="2" width="26.6640625" style="39" customWidth="1"/>
    <col min="3" max="3" width="26.6640625" style="38" customWidth="1"/>
    <col min="4" max="5" width="11.6640625" style="37" customWidth="1"/>
    <col min="6" max="6" width="10" style="37" customWidth="1"/>
    <col min="7" max="7" width="10.83203125" style="65" customWidth="1"/>
    <col min="8" max="8" width="9.1640625" style="143" customWidth="1"/>
    <col min="9" max="9" width="8.33203125" style="143" customWidth="1"/>
    <col min="10" max="10" width="9.1640625" style="143" customWidth="1"/>
    <col min="11" max="12" width="10" style="143" customWidth="1"/>
    <col min="13" max="13" width="8.33203125" style="143" customWidth="1"/>
    <col min="14" max="14" width="12.5" style="143" customWidth="1"/>
    <col min="15" max="15" width="10.83203125" style="143" customWidth="1"/>
    <col min="16" max="16" width="11.6640625" style="144" customWidth="1"/>
    <col min="17" max="17" width="13.33203125" style="37" customWidth="1"/>
    <col min="18" max="18" width="13.33203125" style="145" customWidth="1"/>
    <col min="19" max="19" width="14.1640625" style="33" customWidth="1"/>
    <col min="20" max="16384" width="9" style="32"/>
  </cols>
  <sheetData>
    <row r="1" spans="1:26" ht="20" customHeight="1" thickBot="1">
      <c r="A1" s="170" t="s">
        <v>253</v>
      </c>
      <c r="B1" s="171" t="s">
        <v>1</v>
      </c>
      <c r="C1" s="171" t="s">
        <v>2</v>
      </c>
      <c r="D1" s="171" t="s">
        <v>254</v>
      </c>
      <c r="E1" s="171" t="s">
        <v>255</v>
      </c>
      <c r="F1" s="171" t="s">
        <v>190</v>
      </c>
      <c r="G1" s="172" t="s">
        <v>191</v>
      </c>
      <c r="H1" s="173" t="s">
        <v>256</v>
      </c>
      <c r="I1" s="173" t="s">
        <v>257</v>
      </c>
      <c r="J1" s="173" t="s">
        <v>258</v>
      </c>
      <c r="K1" s="173" t="s">
        <v>259</v>
      </c>
      <c r="L1" s="173" t="s">
        <v>260</v>
      </c>
      <c r="M1" s="173" t="s">
        <v>261</v>
      </c>
      <c r="N1" s="173" t="s">
        <v>291</v>
      </c>
      <c r="O1" s="173" t="s">
        <v>292</v>
      </c>
      <c r="P1" s="174" t="s">
        <v>262</v>
      </c>
      <c r="Q1" s="171" t="s">
        <v>263</v>
      </c>
      <c r="R1" s="173" t="s">
        <v>264</v>
      </c>
      <c r="S1" s="175" t="s">
        <v>293</v>
      </c>
      <c r="T1"/>
      <c r="U1"/>
      <c r="V1"/>
      <c r="W1"/>
      <c r="X1"/>
      <c r="Y1"/>
      <c r="Z1"/>
    </row>
    <row r="2" spans="1:26" ht="22" customHeight="1">
      <c r="A2" s="237" t="s">
        <v>477</v>
      </c>
      <c r="B2" s="238"/>
      <c r="C2" s="238"/>
      <c r="D2" s="238"/>
      <c r="E2" s="238"/>
      <c r="F2" s="238"/>
      <c r="G2" s="238"/>
      <c r="H2" s="238"/>
      <c r="I2" s="238"/>
      <c r="J2" s="238"/>
      <c r="K2" s="238"/>
      <c r="L2" s="238"/>
      <c r="M2" s="238"/>
      <c r="N2" s="238"/>
      <c r="O2" s="238"/>
      <c r="P2" s="238"/>
      <c r="Q2" s="238"/>
      <c r="R2" s="238"/>
      <c r="S2" s="239"/>
      <c r="T2"/>
      <c r="U2"/>
      <c r="V2"/>
      <c r="W2"/>
      <c r="X2"/>
      <c r="Y2"/>
      <c r="Z2"/>
    </row>
    <row r="3" spans="1:26" ht="24" customHeight="1">
      <c r="A3" s="154" t="s">
        <v>192</v>
      </c>
      <c r="B3" s="155" t="s">
        <v>268</v>
      </c>
      <c r="C3" s="155" t="s">
        <v>269</v>
      </c>
      <c r="D3" s="155" t="s">
        <v>17</v>
      </c>
      <c r="E3" s="155" t="s">
        <v>31</v>
      </c>
      <c r="F3" s="155" t="s">
        <v>194</v>
      </c>
      <c r="G3" s="156">
        <v>16</v>
      </c>
      <c r="H3" s="157">
        <v>70</v>
      </c>
      <c r="I3" s="157">
        <v>70</v>
      </c>
      <c r="J3" s="157">
        <v>140</v>
      </c>
      <c r="K3" s="157">
        <v>400</v>
      </c>
      <c r="L3" s="157">
        <v>10</v>
      </c>
      <c r="M3" s="157">
        <v>70</v>
      </c>
      <c r="N3" s="158">
        <f>SUM(H3:M3)</f>
        <v>760</v>
      </c>
      <c r="O3" s="157">
        <v>950</v>
      </c>
      <c r="P3" s="101">
        <v>3330</v>
      </c>
      <c r="Q3" s="159" t="s">
        <v>151</v>
      </c>
      <c r="R3" s="160">
        <f>IFERROR(N3+IF(ISNUMBER(O3),O3,0)+IF(ISNUMBER(P3),P3,0),"")</f>
        <v>5040</v>
      </c>
      <c r="S3" s="161" t="s">
        <v>212</v>
      </c>
      <c r="T3"/>
      <c r="U3"/>
      <c r="V3"/>
      <c r="W3"/>
      <c r="X3"/>
      <c r="Y3"/>
      <c r="Z3"/>
    </row>
    <row r="4" spans="1:26" ht="24" customHeight="1">
      <c r="A4" s="154" t="s">
        <v>198</v>
      </c>
      <c r="B4" s="155" t="s">
        <v>270</v>
      </c>
      <c r="C4" s="155" t="s">
        <v>269</v>
      </c>
      <c r="D4" s="155" t="s">
        <v>17</v>
      </c>
      <c r="E4" s="155" t="s">
        <v>31</v>
      </c>
      <c r="F4" s="155" t="s">
        <v>199</v>
      </c>
      <c r="G4" s="156">
        <v>4</v>
      </c>
      <c r="H4" s="157">
        <v>70</v>
      </c>
      <c r="I4" s="157">
        <v>70</v>
      </c>
      <c r="J4" s="157">
        <v>170</v>
      </c>
      <c r="K4" s="157">
        <v>250</v>
      </c>
      <c r="L4" s="157">
        <v>50</v>
      </c>
      <c r="M4" s="157">
        <v>50</v>
      </c>
      <c r="N4" s="158">
        <f>SUM(H4:M4)</f>
        <v>660</v>
      </c>
      <c r="O4" s="157">
        <v>950</v>
      </c>
      <c r="P4" s="101">
        <v>4171</v>
      </c>
      <c r="Q4" s="159" t="s">
        <v>152</v>
      </c>
      <c r="R4" s="160">
        <f>IFERROR(N4+IF(ISNUMBER(O4),O4,0)+IF(ISNUMBER(P4),P4,0),"")</f>
        <v>5781</v>
      </c>
      <c r="S4" s="161" t="s">
        <v>212</v>
      </c>
      <c r="T4"/>
      <c r="U4"/>
      <c r="V4"/>
      <c r="W4"/>
      <c r="X4"/>
      <c r="Y4"/>
      <c r="Z4"/>
    </row>
    <row r="5" spans="1:26" ht="22" customHeight="1">
      <c r="A5" s="240" t="s">
        <v>478</v>
      </c>
      <c r="B5" s="241"/>
      <c r="C5" s="241"/>
      <c r="D5" s="241"/>
      <c r="E5" s="241"/>
      <c r="F5" s="241"/>
      <c r="G5" s="241"/>
      <c r="H5" s="241"/>
      <c r="I5" s="241"/>
      <c r="J5" s="241"/>
      <c r="K5" s="241"/>
      <c r="L5" s="241"/>
      <c r="M5" s="241"/>
      <c r="N5" s="241"/>
      <c r="O5" s="241"/>
      <c r="P5" s="241"/>
      <c r="Q5" s="241"/>
      <c r="R5" s="241"/>
      <c r="S5" s="242"/>
      <c r="T5"/>
      <c r="U5"/>
      <c r="V5"/>
      <c r="W5"/>
      <c r="X5"/>
      <c r="Y5"/>
      <c r="Z5"/>
    </row>
    <row r="6" spans="1:26" ht="24" customHeight="1">
      <c r="A6" s="76" t="s">
        <v>228</v>
      </c>
      <c r="B6" s="81" t="s">
        <v>40</v>
      </c>
      <c r="C6" s="81" t="s">
        <v>229</v>
      </c>
      <c r="D6" s="81" t="s">
        <v>39</v>
      </c>
      <c r="E6" s="81" t="s">
        <v>105</v>
      </c>
      <c r="F6" s="81" t="s">
        <v>230</v>
      </c>
      <c r="G6" s="66">
        <v>9</v>
      </c>
      <c r="H6" s="86">
        <v>70</v>
      </c>
      <c r="I6" s="86">
        <v>50</v>
      </c>
      <c r="J6" s="86">
        <v>260</v>
      </c>
      <c r="K6" s="86">
        <v>250</v>
      </c>
      <c r="L6" s="86">
        <v>90</v>
      </c>
      <c r="M6" s="86">
        <v>80</v>
      </c>
      <c r="N6" s="91">
        <f t="shared" ref="N6:N22" si="0">SUM(H6:M6)</f>
        <v>800</v>
      </c>
      <c r="O6" s="86" t="s">
        <v>169</v>
      </c>
      <c r="P6" s="101">
        <v>1940</v>
      </c>
      <c r="Q6" s="71" t="s">
        <v>318</v>
      </c>
      <c r="R6" s="96">
        <f t="shared" ref="R6:R22" si="1">IFERROR(N6+IF(ISNUMBER(O6),O6,0)+IF(ISNUMBER(P6),P6,0),"")</f>
        <v>2740</v>
      </c>
      <c r="S6" s="105" t="s">
        <v>142</v>
      </c>
      <c r="T6"/>
      <c r="U6"/>
      <c r="V6"/>
      <c r="W6"/>
      <c r="X6"/>
      <c r="Y6"/>
      <c r="Z6"/>
    </row>
    <row r="7" spans="1:26" ht="24" customHeight="1">
      <c r="A7" s="76" t="s">
        <v>231</v>
      </c>
      <c r="B7" s="81" t="s">
        <v>232</v>
      </c>
      <c r="C7" s="81" t="s">
        <v>233</v>
      </c>
      <c r="D7" s="81" t="s">
        <v>56</v>
      </c>
      <c r="E7" s="81" t="s">
        <v>105</v>
      </c>
      <c r="F7" s="81" t="s">
        <v>230</v>
      </c>
      <c r="G7" s="66">
        <v>2</v>
      </c>
      <c r="H7" s="86">
        <v>70</v>
      </c>
      <c r="I7" s="86">
        <v>50</v>
      </c>
      <c r="J7" s="86">
        <v>260</v>
      </c>
      <c r="K7" s="86">
        <v>325</v>
      </c>
      <c r="L7" s="86">
        <v>90</v>
      </c>
      <c r="M7" s="86">
        <v>80</v>
      </c>
      <c r="N7" s="91">
        <f t="shared" si="0"/>
        <v>875</v>
      </c>
      <c r="O7" s="86" t="s">
        <v>169</v>
      </c>
      <c r="P7" s="101">
        <v>1940</v>
      </c>
      <c r="Q7" s="71" t="s">
        <v>265</v>
      </c>
      <c r="R7" s="96">
        <f t="shared" si="1"/>
        <v>2815</v>
      </c>
      <c r="S7" s="105" t="s">
        <v>142</v>
      </c>
      <c r="T7"/>
      <c r="U7"/>
      <c r="V7"/>
      <c r="W7"/>
      <c r="X7"/>
      <c r="Y7"/>
      <c r="Z7"/>
    </row>
    <row r="8" spans="1:26" ht="24" customHeight="1">
      <c r="A8" s="76" t="s">
        <v>234</v>
      </c>
      <c r="B8" s="81" t="s">
        <v>94</v>
      </c>
      <c r="C8" s="81" t="s">
        <v>235</v>
      </c>
      <c r="D8" s="81" t="s">
        <v>39</v>
      </c>
      <c r="E8" s="81" t="s">
        <v>105</v>
      </c>
      <c r="F8" s="81" t="s">
        <v>230</v>
      </c>
      <c r="G8" s="66">
        <v>1</v>
      </c>
      <c r="H8" s="86">
        <v>70</v>
      </c>
      <c r="I8" s="86">
        <v>50</v>
      </c>
      <c r="J8" s="86">
        <v>260</v>
      </c>
      <c r="K8" s="86">
        <v>250</v>
      </c>
      <c r="L8" s="86">
        <v>90</v>
      </c>
      <c r="M8" s="86">
        <v>80</v>
      </c>
      <c r="N8" s="91">
        <f t="shared" si="0"/>
        <v>800</v>
      </c>
      <c r="O8" s="86" t="s">
        <v>169</v>
      </c>
      <c r="P8" s="101">
        <v>1940</v>
      </c>
      <c r="Q8" s="71" t="s">
        <v>265</v>
      </c>
      <c r="R8" s="96">
        <f t="shared" si="1"/>
        <v>2740</v>
      </c>
      <c r="S8" s="105" t="s">
        <v>142</v>
      </c>
      <c r="T8"/>
      <c r="U8"/>
      <c r="V8"/>
      <c r="W8"/>
      <c r="X8"/>
      <c r="Y8"/>
      <c r="Z8"/>
    </row>
    <row r="9" spans="1:26" ht="24" customHeight="1">
      <c r="A9" s="76" t="s">
        <v>236</v>
      </c>
      <c r="B9" s="81" t="s">
        <v>102</v>
      </c>
      <c r="C9" s="81" t="s">
        <v>233</v>
      </c>
      <c r="D9" s="81" t="s">
        <v>29</v>
      </c>
      <c r="E9" s="81" t="s">
        <v>105</v>
      </c>
      <c r="F9" s="81" t="s">
        <v>230</v>
      </c>
      <c r="G9" s="66">
        <v>2</v>
      </c>
      <c r="H9" s="86">
        <v>70</v>
      </c>
      <c r="I9" s="86">
        <v>80</v>
      </c>
      <c r="J9" s="86">
        <v>160</v>
      </c>
      <c r="K9" s="86">
        <v>1000</v>
      </c>
      <c r="L9" s="86">
        <v>50</v>
      </c>
      <c r="M9" s="86">
        <v>75</v>
      </c>
      <c r="N9" s="91">
        <f t="shared" si="0"/>
        <v>1435</v>
      </c>
      <c r="O9" s="86" t="s">
        <v>169</v>
      </c>
      <c r="P9" s="101">
        <v>2800</v>
      </c>
      <c r="Q9" s="71" t="s">
        <v>266</v>
      </c>
      <c r="R9" s="96">
        <f t="shared" si="1"/>
        <v>4235</v>
      </c>
      <c r="S9" s="105" t="s">
        <v>142</v>
      </c>
      <c r="T9"/>
      <c r="U9"/>
      <c r="V9"/>
      <c r="W9"/>
      <c r="X9"/>
      <c r="Y9"/>
      <c r="Z9"/>
    </row>
    <row r="10" spans="1:26" ht="24" customHeight="1">
      <c r="A10" s="76" t="s">
        <v>237</v>
      </c>
      <c r="B10" s="81" t="s">
        <v>103</v>
      </c>
      <c r="C10" s="81" t="s">
        <v>233</v>
      </c>
      <c r="D10" s="81" t="s">
        <v>227</v>
      </c>
      <c r="E10" s="81" t="s">
        <v>105</v>
      </c>
      <c r="F10" s="81" t="s">
        <v>230</v>
      </c>
      <c r="G10" s="66">
        <v>1</v>
      </c>
      <c r="H10" s="86">
        <v>70</v>
      </c>
      <c r="I10" s="86">
        <v>35</v>
      </c>
      <c r="J10" s="86">
        <v>145</v>
      </c>
      <c r="K10" s="86">
        <v>350</v>
      </c>
      <c r="L10" s="86">
        <v>150</v>
      </c>
      <c r="M10" s="86">
        <v>50</v>
      </c>
      <c r="N10" s="91">
        <f t="shared" si="0"/>
        <v>800</v>
      </c>
      <c r="O10" s="86" t="s">
        <v>169</v>
      </c>
      <c r="P10" s="101">
        <v>2340</v>
      </c>
      <c r="Q10" s="71" t="s">
        <v>267</v>
      </c>
      <c r="R10" s="96">
        <f t="shared" si="1"/>
        <v>3140</v>
      </c>
      <c r="S10" s="105" t="s">
        <v>142</v>
      </c>
      <c r="T10"/>
      <c r="U10"/>
      <c r="V10"/>
      <c r="W10"/>
      <c r="X10"/>
      <c r="Y10"/>
      <c r="Z10"/>
    </row>
    <row r="11" spans="1:26" ht="24" customHeight="1">
      <c r="A11" s="76" t="s">
        <v>238</v>
      </c>
      <c r="B11" s="81" t="s">
        <v>82</v>
      </c>
      <c r="C11" s="81" t="s">
        <v>235</v>
      </c>
      <c r="D11" s="81" t="s">
        <v>17</v>
      </c>
      <c r="E11" s="81" t="s">
        <v>105</v>
      </c>
      <c r="F11" s="81" t="s">
        <v>239</v>
      </c>
      <c r="G11" s="66">
        <v>2</v>
      </c>
      <c r="H11" s="86">
        <v>70</v>
      </c>
      <c r="I11" s="86">
        <v>70</v>
      </c>
      <c r="J11" s="86">
        <v>145</v>
      </c>
      <c r="K11" s="86">
        <v>550</v>
      </c>
      <c r="L11" s="86">
        <v>15</v>
      </c>
      <c r="M11" s="86">
        <v>60</v>
      </c>
      <c r="N11" s="91">
        <f t="shared" si="0"/>
        <v>910</v>
      </c>
      <c r="O11" s="86" t="s">
        <v>169</v>
      </c>
      <c r="P11" s="101">
        <v>1840</v>
      </c>
      <c r="Q11" s="71" t="s">
        <v>219</v>
      </c>
      <c r="R11" s="96">
        <f t="shared" si="1"/>
        <v>2750</v>
      </c>
      <c r="S11" s="105" t="s">
        <v>142</v>
      </c>
      <c r="T11"/>
      <c r="U11"/>
      <c r="V11"/>
      <c r="W11"/>
      <c r="X11"/>
      <c r="Y11"/>
      <c r="Z11"/>
    </row>
    <row r="12" spans="1:26" ht="24" customHeight="1">
      <c r="A12" s="76" t="s">
        <v>240</v>
      </c>
      <c r="B12" s="81" t="s">
        <v>83</v>
      </c>
      <c r="C12" s="81" t="s">
        <v>235</v>
      </c>
      <c r="D12" s="81" t="s">
        <v>17</v>
      </c>
      <c r="E12" s="81" t="s">
        <v>105</v>
      </c>
      <c r="F12" s="81" t="s">
        <v>230</v>
      </c>
      <c r="G12" s="66">
        <v>1</v>
      </c>
      <c r="H12" s="86">
        <v>70</v>
      </c>
      <c r="I12" s="86">
        <v>70</v>
      </c>
      <c r="J12" s="86">
        <v>145</v>
      </c>
      <c r="K12" s="86">
        <v>550</v>
      </c>
      <c r="L12" s="86">
        <v>15</v>
      </c>
      <c r="M12" s="86">
        <v>60</v>
      </c>
      <c r="N12" s="91">
        <f t="shared" si="0"/>
        <v>910</v>
      </c>
      <c r="O12" s="86" t="s">
        <v>169</v>
      </c>
      <c r="P12" s="101">
        <v>1840</v>
      </c>
      <c r="Q12" s="71" t="s">
        <v>219</v>
      </c>
      <c r="R12" s="96">
        <f t="shared" si="1"/>
        <v>2750</v>
      </c>
      <c r="S12" s="105" t="s">
        <v>142</v>
      </c>
      <c r="T12"/>
      <c r="U12"/>
      <c r="V12"/>
      <c r="W12"/>
      <c r="X12"/>
      <c r="Y12"/>
      <c r="Z12"/>
    </row>
    <row r="13" spans="1:26" ht="24" customHeight="1">
      <c r="A13" s="76" t="s">
        <v>241</v>
      </c>
      <c r="B13" s="81" t="s">
        <v>84</v>
      </c>
      <c r="C13" s="81" t="s">
        <v>235</v>
      </c>
      <c r="D13" s="81" t="s">
        <v>17</v>
      </c>
      <c r="E13" s="81" t="s">
        <v>105</v>
      </c>
      <c r="F13" s="81" t="s">
        <v>230</v>
      </c>
      <c r="G13" s="66">
        <v>0.5</v>
      </c>
      <c r="H13" s="86">
        <v>70</v>
      </c>
      <c r="I13" s="86">
        <v>70</v>
      </c>
      <c r="J13" s="86">
        <v>145</v>
      </c>
      <c r="K13" s="86">
        <v>550</v>
      </c>
      <c r="L13" s="86">
        <v>15</v>
      </c>
      <c r="M13" s="86">
        <v>60</v>
      </c>
      <c r="N13" s="91">
        <f t="shared" si="0"/>
        <v>910</v>
      </c>
      <c r="O13" s="86" t="s">
        <v>169</v>
      </c>
      <c r="P13" s="101">
        <v>1840</v>
      </c>
      <c r="Q13" s="71" t="s">
        <v>219</v>
      </c>
      <c r="R13" s="96">
        <f t="shared" si="1"/>
        <v>2750</v>
      </c>
      <c r="S13" s="105" t="s">
        <v>142</v>
      </c>
      <c r="T13"/>
      <c r="U13"/>
      <c r="V13"/>
      <c r="W13"/>
      <c r="X13"/>
      <c r="Y13"/>
      <c r="Z13"/>
    </row>
    <row r="14" spans="1:26" ht="24" customHeight="1">
      <c r="A14" s="76" t="s">
        <v>242</v>
      </c>
      <c r="B14" s="81" t="s">
        <v>85</v>
      </c>
      <c r="C14" s="81" t="s">
        <v>235</v>
      </c>
      <c r="D14" s="81" t="s">
        <v>17</v>
      </c>
      <c r="E14" s="81" t="s">
        <v>105</v>
      </c>
      <c r="F14" s="81" t="s">
        <v>230</v>
      </c>
      <c r="G14" s="66">
        <v>2</v>
      </c>
      <c r="H14" s="86">
        <v>70</v>
      </c>
      <c r="I14" s="86">
        <v>70</v>
      </c>
      <c r="J14" s="86">
        <v>145</v>
      </c>
      <c r="K14" s="86">
        <v>250</v>
      </c>
      <c r="L14" s="86">
        <v>15</v>
      </c>
      <c r="M14" s="86">
        <v>60</v>
      </c>
      <c r="N14" s="91">
        <f t="shared" si="0"/>
        <v>610</v>
      </c>
      <c r="O14" s="86" t="s">
        <v>169</v>
      </c>
      <c r="P14" s="101">
        <v>1840</v>
      </c>
      <c r="Q14" s="71" t="s">
        <v>219</v>
      </c>
      <c r="R14" s="96">
        <f t="shared" si="1"/>
        <v>2450</v>
      </c>
      <c r="S14" s="105" t="s">
        <v>142</v>
      </c>
      <c r="T14"/>
      <c r="U14"/>
      <c r="V14"/>
      <c r="W14"/>
      <c r="X14"/>
      <c r="Y14"/>
      <c r="Z14"/>
    </row>
    <row r="15" spans="1:26" ht="24" customHeight="1">
      <c r="A15" s="76" t="s">
        <v>243</v>
      </c>
      <c r="B15" s="81" t="s">
        <v>86</v>
      </c>
      <c r="C15" s="81" t="s">
        <v>235</v>
      </c>
      <c r="D15" s="81" t="s">
        <v>17</v>
      </c>
      <c r="E15" s="81" t="s">
        <v>105</v>
      </c>
      <c r="F15" s="81" t="s">
        <v>230</v>
      </c>
      <c r="G15" s="66">
        <v>2</v>
      </c>
      <c r="H15" s="86">
        <v>70</v>
      </c>
      <c r="I15" s="86">
        <v>70</v>
      </c>
      <c r="J15" s="86">
        <v>145</v>
      </c>
      <c r="K15" s="86">
        <v>200</v>
      </c>
      <c r="L15" s="86">
        <v>15</v>
      </c>
      <c r="M15" s="86">
        <v>50</v>
      </c>
      <c r="N15" s="91">
        <f t="shared" si="0"/>
        <v>550</v>
      </c>
      <c r="O15" s="86" t="s">
        <v>169</v>
      </c>
      <c r="P15" s="101">
        <v>1840</v>
      </c>
      <c r="Q15" s="71" t="s">
        <v>219</v>
      </c>
      <c r="R15" s="96">
        <f t="shared" si="1"/>
        <v>2390</v>
      </c>
      <c r="S15" s="105" t="s">
        <v>142</v>
      </c>
      <c r="T15"/>
      <c r="U15"/>
      <c r="V15"/>
      <c r="W15"/>
      <c r="X15"/>
      <c r="Y15"/>
      <c r="Z15"/>
    </row>
    <row r="16" spans="1:26" ht="24" customHeight="1">
      <c r="A16" s="76" t="s">
        <v>244</v>
      </c>
      <c r="B16" s="81" t="s">
        <v>87</v>
      </c>
      <c r="C16" s="81" t="s">
        <v>235</v>
      </c>
      <c r="D16" s="81" t="s">
        <v>17</v>
      </c>
      <c r="E16" s="81" t="s">
        <v>105</v>
      </c>
      <c r="F16" s="81" t="s">
        <v>230</v>
      </c>
      <c r="G16" s="66">
        <v>0.5</v>
      </c>
      <c r="H16" s="86">
        <v>70</v>
      </c>
      <c r="I16" s="86">
        <v>70</v>
      </c>
      <c r="J16" s="86">
        <v>145</v>
      </c>
      <c r="K16" s="86">
        <v>1550</v>
      </c>
      <c r="L16" s="86">
        <v>15</v>
      </c>
      <c r="M16" s="86">
        <v>60</v>
      </c>
      <c r="N16" s="91">
        <f t="shared" si="0"/>
        <v>1910</v>
      </c>
      <c r="O16" s="86" t="s">
        <v>169</v>
      </c>
      <c r="P16" s="101">
        <v>1840</v>
      </c>
      <c r="Q16" s="71" t="s">
        <v>219</v>
      </c>
      <c r="R16" s="96">
        <f t="shared" si="1"/>
        <v>3750</v>
      </c>
      <c r="S16" s="105" t="s">
        <v>142</v>
      </c>
      <c r="T16"/>
      <c r="U16"/>
      <c r="V16"/>
      <c r="W16"/>
      <c r="X16"/>
      <c r="Y16"/>
      <c r="Z16"/>
    </row>
    <row r="17" spans="1:26" ht="24" customHeight="1">
      <c r="A17" s="76" t="s">
        <v>245</v>
      </c>
      <c r="B17" s="81" t="s">
        <v>97</v>
      </c>
      <c r="C17" s="81" t="s">
        <v>233</v>
      </c>
      <c r="D17" s="81" t="s">
        <v>17</v>
      </c>
      <c r="E17" s="81" t="s">
        <v>105</v>
      </c>
      <c r="F17" s="81" t="s">
        <v>230</v>
      </c>
      <c r="G17" s="66">
        <v>1</v>
      </c>
      <c r="H17" s="86">
        <v>70</v>
      </c>
      <c r="I17" s="86">
        <v>70</v>
      </c>
      <c r="J17" s="86">
        <v>145</v>
      </c>
      <c r="K17" s="86">
        <v>350</v>
      </c>
      <c r="L17" s="86">
        <v>15</v>
      </c>
      <c r="M17" s="86">
        <v>60</v>
      </c>
      <c r="N17" s="91">
        <f t="shared" si="0"/>
        <v>710</v>
      </c>
      <c r="O17" s="86" t="s">
        <v>169</v>
      </c>
      <c r="P17" s="101">
        <v>1840</v>
      </c>
      <c r="Q17" s="71" t="s">
        <v>219</v>
      </c>
      <c r="R17" s="96">
        <f t="shared" si="1"/>
        <v>2550</v>
      </c>
      <c r="S17" s="105" t="s">
        <v>142</v>
      </c>
      <c r="T17"/>
      <c r="U17"/>
      <c r="V17"/>
      <c r="W17"/>
      <c r="X17"/>
      <c r="Y17"/>
      <c r="Z17"/>
    </row>
    <row r="18" spans="1:26" ht="24" customHeight="1">
      <c r="A18" s="76" t="s">
        <v>246</v>
      </c>
      <c r="B18" s="81" t="s">
        <v>247</v>
      </c>
      <c r="C18" s="81" t="s">
        <v>233</v>
      </c>
      <c r="D18" s="81" t="s">
        <v>44</v>
      </c>
      <c r="E18" s="81" t="s">
        <v>105</v>
      </c>
      <c r="F18" s="81" t="s">
        <v>230</v>
      </c>
      <c r="G18" s="66">
        <v>1</v>
      </c>
      <c r="H18" s="86">
        <v>70</v>
      </c>
      <c r="I18" s="86">
        <v>70</v>
      </c>
      <c r="J18" s="86">
        <v>145</v>
      </c>
      <c r="K18" s="86">
        <v>200</v>
      </c>
      <c r="L18" s="86">
        <v>15</v>
      </c>
      <c r="M18" s="86">
        <v>50</v>
      </c>
      <c r="N18" s="91">
        <f t="shared" si="0"/>
        <v>550</v>
      </c>
      <c r="O18" s="86" t="s">
        <v>169</v>
      </c>
      <c r="P18" s="101">
        <v>2150</v>
      </c>
      <c r="Q18" s="71" t="s">
        <v>222</v>
      </c>
      <c r="R18" s="96">
        <f t="shared" si="1"/>
        <v>2700</v>
      </c>
      <c r="S18" s="105" t="s">
        <v>142</v>
      </c>
      <c r="T18"/>
      <c r="U18"/>
      <c r="V18"/>
      <c r="W18"/>
      <c r="X18"/>
      <c r="Y18"/>
      <c r="Z18"/>
    </row>
    <row r="19" spans="1:26" ht="24" customHeight="1">
      <c r="A19" s="76" t="s">
        <v>248</v>
      </c>
      <c r="B19" s="81" t="s">
        <v>98</v>
      </c>
      <c r="C19" s="81" t="s">
        <v>233</v>
      </c>
      <c r="D19" s="81" t="s">
        <v>17</v>
      </c>
      <c r="E19" s="81" t="s">
        <v>105</v>
      </c>
      <c r="F19" s="81" t="s">
        <v>239</v>
      </c>
      <c r="G19" s="66">
        <v>1</v>
      </c>
      <c r="H19" s="86">
        <v>70</v>
      </c>
      <c r="I19" s="86">
        <v>70</v>
      </c>
      <c r="J19" s="86">
        <v>145</v>
      </c>
      <c r="K19" s="86">
        <v>50</v>
      </c>
      <c r="L19" s="86">
        <v>15</v>
      </c>
      <c r="M19" s="86">
        <v>60</v>
      </c>
      <c r="N19" s="91">
        <f t="shared" si="0"/>
        <v>410</v>
      </c>
      <c r="O19" s="86" t="s">
        <v>169</v>
      </c>
      <c r="P19" s="101">
        <v>1840</v>
      </c>
      <c r="Q19" s="71" t="s">
        <v>219</v>
      </c>
      <c r="R19" s="96">
        <f t="shared" si="1"/>
        <v>2250</v>
      </c>
      <c r="S19" s="105" t="s">
        <v>142</v>
      </c>
      <c r="T19"/>
      <c r="U19"/>
      <c r="V19"/>
      <c r="W19"/>
      <c r="X19"/>
      <c r="Y19"/>
      <c r="Z19"/>
    </row>
    <row r="20" spans="1:26" ht="24" customHeight="1">
      <c r="A20" s="76" t="s">
        <v>249</v>
      </c>
      <c r="B20" s="81" t="s">
        <v>250</v>
      </c>
      <c r="C20" s="81" t="s">
        <v>235</v>
      </c>
      <c r="D20" s="81" t="s">
        <v>17</v>
      </c>
      <c r="E20" s="81" t="s">
        <v>105</v>
      </c>
      <c r="F20" s="81" t="s">
        <v>230</v>
      </c>
      <c r="G20" s="66">
        <v>1</v>
      </c>
      <c r="H20" s="86">
        <v>70</v>
      </c>
      <c r="I20" s="86">
        <v>70</v>
      </c>
      <c r="J20" s="86">
        <v>145</v>
      </c>
      <c r="K20" s="86">
        <v>550</v>
      </c>
      <c r="L20" s="86">
        <v>15</v>
      </c>
      <c r="M20" s="86">
        <v>60</v>
      </c>
      <c r="N20" s="91">
        <f t="shared" si="0"/>
        <v>910</v>
      </c>
      <c r="O20" s="86" t="s">
        <v>169</v>
      </c>
      <c r="P20" s="101">
        <v>1840</v>
      </c>
      <c r="Q20" s="71" t="s">
        <v>219</v>
      </c>
      <c r="R20" s="96">
        <f t="shared" si="1"/>
        <v>2750</v>
      </c>
      <c r="S20" s="105" t="s">
        <v>142</v>
      </c>
      <c r="T20"/>
      <c r="U20"/>
      <c r="V20"/>
      <c r="W20"/>
      <c r="X20"/>
      <c r="Y20"/>
      <c r="Z20"/>
    </row>
    <row r="21" spans="1:26" ht="24" customHeight="1">
      <c r="A21" s="76" t="s">
        <v>251</v>
      </c>
      <c r="B21" s="81" t="s">
        <v>99</v>
      </c>
      <c r="C21" s="81" t="s">
        <v>233</v>
      </c>
      <c r="D21" s="81" t="s">
        <v>17</v>
      </c>
      <c r="E21" s="81" t="s">
        <v>105</v>
      </c>
      <c r="F21" s="81" t="s">
        <v>230</v>
      </c>
      <c r="G21" s="66">
        <v>2</v>
      </c>
      <c r="H21" s="86">
        <v>70</v>
      </c>
      <c r="I21" s="86">
        <v>70</v>
      </c>
      <c r="J21" s="86">
        <v>145</v>
      </c>
      <c r="K21" s="86">
        <v>550</v>
      </c>
      <c r="L21" s="86">
        <v>15</v>
      </c>
      <c r="M21" s="86">
        <v>60</v>
      </c>
      <c r="N21" s="91">
        <f t="shared" si="0"/>
        <v>910</v>
      </c>
      <c r="O21" s="86" t="s">
        <v>169</v>
      </c>
      <c r="P21" s="101">
        <v>1840</v>
      </c>
      <c r="Q21" s="71" t="s">
        <v>219</v>
      </c>
      <c r="R21" s="96">
        <f t="shared" si="1"/>
        <v>2750</v>
      </c>
      <c r="S21" s="105" t="s">
        <v>142</v>
      </c>
      <c r="T21"/>
      <c r="U21"/>
      <c r="V21"/>
      <c r="W21"/>
      <c r="X21"/>
      <c r="Y21"/>
      <c r="Z21"/>
    </row>
    <row r="22" spans="1:26" ht="24" customHeight="1">
      <c r="A22" s="76" t="s">
        <v>252</v>
      </c>
      <c r="B22" s="81" t="s">
        <v>100</v>
      </c>
      <c r="C22" s="81" t="s">
        <v>233</v>
      </c>
      <c r="D22" s="81" t="s">
        <v>17</v>
      </c>
      <c r="E22" s="81" t="s">
        <v>105</v>
      </c>
      <c r="F22" s="81" t="s">
        <v>230</v>
      </c>
      <c r="G22" s="66">
        <v>2</v>
      </c>
      <c r="H22" s="86">
        <v>70</v>
      </c>
      <c r="I22" s="86">
        <v>70</v>
      </c>
      <c r="J22" s="86">
        <v>145</v>
      </c>
      <c r="K22" s="86">
        <v>1500</v>
      </c>
      <c r="L22" s="86">
        <v>15</v>
      </c>
      <c r="M22" s="86">
        <v>60</v>
      </c>
      <c r="N22" s="91">
        <f t="shared" si="0"/>
        <v>1860</v>
      </c>
      <c r="O22" s="86" t="s">
        <v>169</v>
      </c>
      <c r="P22" s="101">
        <v>1840</v>
      </c>
      <c r="Q22" s="71" t="s">
        <v>219</v>
      </c>
      <c r="R22" s="96">
        <f t="shared" si="1"/>
        <v>3700</v>
      </c>
      <c r="S22" s="105" t="s">
        <v>142</v>
      </c>
      <c r="T22"/>
      <c r="U22"/>
      <c r="V22"/>
      <c r="W22"/>
      <c r="X22"/>
      <c r="Y22"/>
      <c r="Z22"/>
    </row>
    <row r="23" spans="1:26" ht="22" customHeight="1">
      <c r="A23" s="243" t="s">
        <v>479</v>
      </c>
      <c r="B23" s="244"/>
      <c r="C23" s="244"/>
      <c r="D23" s="244"/>
      <c r="E23" s="244"/>
      <c r="F23" s="244"/>
      <c r="G23" s="244"/>
      <c r="H23" s="244"/>
      <c r="I23" s="244"/>
      <c r="J23" s="244"/>
      <c r="K23" s="244"/>
      <c r="L23" s="244"/>
      <c r="M23" s="244"/>
      <c r="N23" s="244"/>
      <c r="O23" s="244"/>
      <c r="P23" s="244"/>
      <c r="Q23" s="244"/>
      <c r="R23" s="244"/>
      <c r="S23" s="245"/>
      <c r="T23"/>
      <c r="U23"/>
      <c r="V23"/>
      <c r="W23"/>
      <c r="X23"/>
      <c r="Y23"/>
      <c r="Z23"/>
    </row>
    <row r="24" spans="1:26" ht="24" customHeight="1">
      <c r="A24" s="77" t="s">
        <v>201</v>
      </c>
      <c r="B24" s="82" t="s">
        <v>268</v>
      </c>
      <c r="C24" s="82" t="s">
        <v>320</v>
      </c>
      <c r="D24" s="82" t="s">
        <v>17</v>
      </c>
      <c r="E24" s="82" t="s">
        <v>18</v>
      </c>
      <c r="F24" s="82" t="s">
        <v>199</v>
      </c>
      <c r="G24" s="67">
        <v>2</v>
      </c>
      <c r="H24" s="87">
        <v>70</v>
      </c>
      <c r="I24" s="87">
        <v>70</v>
      </c>
      <c r="J24" s="87">
        <v>140</v>
      </c>
      <c r="K24" s="87">
        <v>400</v>
      </c>
      <c r="L24" s="87">
        <v>10</v>
      </c>
      <c r="M24" s="87">
        <v>70</v>
      </c>
      <c r="N24" s="92">
        <f>SUM(H24:M24)</f>
        <v>760</v>
      </c>
      <c r="O24" s="87">
        <v>2685</v>
      </c>
      <c r="P24" s="101">
        <v>2390</v>
      </c>
      <c r="Q24" s="72" t="s">
        <v>151</v>
      </c>
      <c r="R24" s="97">
        <f>IFERROR(N24+IF(ISNUMBER(O24),O24,0)+IF(ISNUMBER(P24),P24,0),"")</f>
        <v>5835</v>
      </c>
      <c r="S24" s="106" t="s">
        <v>142</v>
      </c>
      <c r="T24"/>
      <c r="U24"/>
      <c r="V24"/>
      <c r="W24"/>
      <c r="X24"/>
      <c r="Y24"/>
      <c r="Z24"/>
    </row>
    <row r="25" spans="1:26" ht="24" customHeight="1">
      <c r="A25" s="77" t="s">
        <v>204</v>
      </c>
      <c r="B25" s="82" t="s">
        <v>271</v>
      </c>
      <c r="C25" s="82" t="s">
        <v>321</v>
      </c>
      <c r="D25" s="82" t="s">
        <v>17</v>
      </c>
      <c r="E25" s="82" t="s">
        <v>23</v>
      </c>
      <c r="F25" s="82" t="s">
        <v>199</v>
      </c>
      <c r="G25" s="67">
        <v>2</v>
      </c>
      <c r="H25" s="87">
        <v>70</v>
      </c>
      <c r="I25" s="87">
        <v>70</v>
      </c>
      <c r="J25" s="87">
        <v>140</v>
      </c>
      <c r="K25" s="87">
        <v>250</v>
      </c>
      <c r="L25" s="87">
        <v>10</v>
      </c>
      <c r="M25" s="87">
        <v>70</v>
      </c>
      <c r="N25" s="92">
        <f>SUM(H25:M25)</f>
        <v>610</v>
      </c>
      <c r="O25" s="87">
        <v>885</v>
      </c>
      <c r="P25" s="101">
        <v>3640</v>
      </c>
      <c r="Q25" s="72"/>
      <c r="R25" s="97">
        <f>IFERROR(N25+IF(ISNUMBER(O25),O25,0)+IF(ISNUMBER(P25),P25,0),"")</f>
        <v>5135</v>
      </c>
      <c r="S25" s="106" t="s">
        <v>142</v>
      </c>
      <c r="T25"/>
      <c r="U25"/>
      <c r="V25"/>
      <c r="W25"/>
      <c r="X25"/>
      <c r="Y25"/>
      <c r="Z25"/>
    </row>
    <row r="26" spans="1:26" ht="24" customHeight="1">
      <c r="A26" s="77" t="s">
        <v>205</v>
      </c>
      <c r="B26" s="82" t="s">
        <v>322</v>
      </c>
      <c r="C26" s="82" t="s">
        <v>323</v>
      </c>
      <c r="D26" s="82" t="s">
        <v>39</v>
      </c>
      <c r="E26" s="82" t="s">
        <v>27</v>
      </c>
      <c r="F26" s="82" t="s">
        <v>194</v>
      </c>
      <c r="G26" s="67">
        <v>4</v>
      </c>
      <c r="H26" s="87">
        <v>70</v>
      </c>
      <c r="I26" s="87">
        <v>70</v>
      </c>
      <c r="J26" s="87">
        <v>140</v>
      </c>
      <c r="K26" s="87">
        <v>300</v>
      </c>
      <c r="L26" s="87">
        <v>30</v>
      </c>
      <c r="M26" s="87">
        <v>70</v>
      </c>
      <c r="N26" s="92">
        <f>SUM(H26:M26)</f>
        <v>680</v>
      </c>
      <c r="O26" s="87">
        <v>2785</v>
      </c>
      <c r="P26" s="101">
        <v>2140</v>
      </c>
      <c r="Q26" s="72" t="s">
        <v>151</v>
      </c>
      <c r="R26" s="97">
        <f>IFERROR(N26+IF(ISNUMBER(O26),O26,0)+IF(ISNUMBER(P26),P26,0),"")</f>
        <v>5605</v>
      </c>
      <c r="S26" s="106" t="s">
        <v>141</v>
      </c>
      <c r="T26"/>
      <c r="U26"/>
      <c r="V26"/>
      <c r="W26"/>
      <c r="X26"/>
      <c r="Y26"/>
      <c r="Z26"/>
    </row>
    <row r="27" spans="1:26" ht="24" customHeight="1">
      <c r="A27" s="77" t="s">
        <v>207</v>
      </c>
      <c r="B27" s="82" t="s">
        <v>28</v>
      </c>
      <c r="C27" s="82" t="s">
        <v>323</v>
      </c>
      <c r="D27" s="82" t="s">
        <v>29</v>
      </c>
      <c r="E27" s="82" t="s">
        <v>27</v>
      </c>
      <c r="F27" s="82" t="s">
        <v>194</v>
      </c>
      <c r="G27" s="67">
        <v>3</v>
      </c>
      <c r="H27" s="87">
        <v>70</v>
      </c>
      <c r="I27" s="87">
        <v>80</v>
      </c>
      <c r="J27" s="87">
        <v>160</v>
      </c>
      <c r="K27" s="87">
        <v>1000</v>
      </c>
      <c r="L27" s="87">
        <v>50</v>
      </c>
      <c r="M27" s="87">
        <v>75</v>
      </c>
      <c r="N27" s="92">
        <f>SUM(H27:M27)</f>
        <v>1435</v>
      </c>
      <c r="O27" s="87">
        <v>2785</v>
      </c>
      <c r="P27" s="101">
        <v>2490</v>
      </c>
      <c r="Q27" s="72" t="s">
        <v>208</v>
      </c>
      <c r="R27" s="97">
        <f>IFERROR(N27+IF(ISNUMBER(O27),O27,0)+IF(ISNUMBER(P27),P27,0),"")</f>
        <v>6710</v>
      </c>
      <c r="S27" s="106" t="s">
        <v>141</v>
      </c>
      <c r="T27"/>
      <c r="U27"/>
      <c r="V27"/>
      <c r="W27"/>
      <c r="X27"/>
      <c r="Y27"/>
      <c r="Z27"/>
    </row>
    <row r="28" spans="1:26" ht="24" customHeight="1">
      <c r="A28" s="77" t="s">
        <v>209</v>
      </c>
      <c r="B28" s="82" t="s">
        <v>268</v>
      </c>
      <c r="C28" s="82" t="s">
        <v>323</v>
      </c>
      <c r="D28" s="82" t="s">
        <v>17</v>
      </c>
      <c r="E28" s="82" t="s">
        <v>27</v>
      </c>
      <c r="F28" s="82" t="s">
        <v>194</v>
      </c>
      <c r="G28" s="67">
        <v>3</v>
      </c>
      <c r="H28" s="87">
        <v>70</v>
      </c>
      <c r="I28" s="87">
        <v>70</v>
      </c>
      <c r="J28" s="87">
        <v>140</v>
      </c>
      <c r="K28" s="87">
        <v>400</v>
      </c>
      <c r="L28" s="87">
        <v>10</v>
      </c>
      <c r="M28" s="87">
        <v>70</v>
      </c>
      <c r="N28" s="92">
        <f>SUM(H28:M28)</f>
        <v>760</v>
      </c>
      <c r="O28" s="87">
        <v>2785</v>
      </c>
      <c r="P28" s="101">
        <v>2247</v>
      </c>
      <c r="Q28" s="72" t="s">
        <v>210</v>
      </c>
      <c r="R28" s="97">
        <f>IFERROR(N28+IF(ISNUMBER(O28),O28,0)+IF(ISNUMBER(P28),P28,0),"")</f>
        <v>5792</v>
      </c>
      <c r="S28" s="106" t="s">
        <v>141</v>
      </c>
      <c r="T28"/>
      <c r="U28"/>
      <c r="V28"/>
      <c r="W28"/>
      <c r="X28"/>
      <c r="Y28"/>
      <c r="Z28"/>
    </row>
    <row r="29" spans="1:26" ht="22" customHeight="1">
      <c r="A29" s="246" t="s">
        <v>480</v>
      </c>
      <c r="B29" s="247"/>
      <c r="C29" s="247"/>
      <c r="D29" s="247"/>
      <c r="E29" s="247"/>
      <c r="F29" s="247"/>
      <c r="G29" s="247"/>
      <c r="H29" s="247"/>
      <c r="I29" s="247"/>
      <c r="J29" s="247"/>
      <c r="K29" s="247"/>
      <c r="L29" s="247"/>
      <c r="M29" s="247"/>
      <c r="N29" s="247"/>
      <c r="O29" s="247"/>
      <c r="P29" s="247"/>
      <c r="Q29" s="247"/>
      <c r="R29" s="247"/>
      <c r="S29" s="248"/>
      <c r="T29"/>
      <c r="U29"/>
      <c r="V29"/>
      <c r="W29"/>
      <c r="X29"/>
      <c r="Y29"/>
      <c r="Z29"/>
    </row>
    <row r="30" spans="1:26" ht="24" customHeight="1">
      <c r="A30" s="162" t="s">
        <v>225</v>
      </c>
      <c r="B30" s="163" t="s">
        <v>285</v>
      </c>
      <c r="C30" s="163" t="s">
        <v>268</v>
      </c>
      <c r="D30" s="163" t="s">
        <v>56</v>
      </c>
      <c r="E30" s="163" t="s">
        <v>17</v>
      </c>
      <c r="F30" s="163" t="s">
        <v>199</v>
      </c>
      <c r="G30" s="164">
        <v>2</v>
      </c>
      <c r="H30" s="165">
        <v>70</v>
      </c>
      <c r="I30" s="165">
        <v>50</v>
      </c>
      <c r="J30" s="165">
        <v>260</v>
      </c>
      <c r="K30" s="165">
        <v>325</v>
      </c>
      <c r="L30" s="165">
        <v>90</v>
      </c>
      <c r="M30" s="165">
        <v>80</v>
      </c>
      <c r="N30" s="166">
        <f>SUM(H30:M30)</f>
        <v>875</v>
      </c>
      <c r="O30" s="165">
        <v>600</v>
      </c>
      <c r="P30" s="101">
        <v>1</v>
      </c>
      <c r="Q30" s="167" t="s">
        <v>155</v>
      </c>
      <c r="R30" s="168">
        <f>IFERROR(N30+IF(ISNUMBER(O30),O30,0)+IF(ISNUMBER(P30),P30,0),"")</f>
        <v>1476</v>
      </c>
      <c r="S30" s="169" t="s">
        <v>131</v>
      </c>
      <c r="T30"/>
      <c r="U30"/>
      <c r="V30"/>
      <c r="W30"/>
      <c r="X30"/>
      <c r="Y30"/>
      <c r="Z30"/>
    </row>
    <row r="31" spans="1:26" ht="24" customHeight="1">
      <c r="A31" s="162" t="s">
        <v>226</v>
      </c>
      <c r="B31" s="163" t="s">
        <v>324</v>
      </c>
      <c r="C31" s="163" t="s">
        <v>268</v>
      </c>
      <c r="D31" s="163" t="s">
        <v>227</v>
      </c>
      <c r="E31" s="163" t="s">
        <v>17</v>
      </c>
      <c r="F31" s="163" t="s">
        <v>199</v>
      </c>
      <c r="G31" s="164">
        <v>1</v>
      </c>
      <c r="H31" s="165">
        <v>70</v>
      </c>
      <c r="I31" s="165">
        <v>35</v>
      </c>
      <c r="J31" s="165">
        <v>145</v>
      </c>
      <c r="K31" s="165">
        <v>350</v>
      </c>
      <c r="L31" s="165">
        <v>150</v>
      </c>
      <c r="M31" s="165">
        <v>50</v>
      </c>
      <c r="N31" s="166">
        <f>SUM(H31:M31)</f>
        <v>800</v>
      </c>
      <c r="O31" s="165">
        <v>600</v>
      </c>
      <c r="P31" s="101">
        <v>1</v>
      </c>
      <c r="Q31" s="167" t="s">
        <v>156</v>
      </c>
      <c r="R31" s="168">
        <f>IFERROR(N31+IF(ISNUMBER(O31),O31,0)+IF(ISNUMBER(P31),P31,0),"")</f>
        <v>1401</v>
      </c>
      <c r="S31" s="169" t="s">
        <v>131</v>
      </c>
      <c r="T31"/>
      <c r="U31"/>
      <c r="V31"/>
      <c r="W31"/>
      <c r="X31"/>
      <c r="Y31"/>
      <c r="Z31"/>
    </row>
    <row r="32" spans="1:26" ht="22" customHeight="1">
      <c r="A32" s="249" t="s">
        <v>481</v>
      </c>
      <c r="B32" s="250"/>
      <c r="C32" s="250"/>
      <c r="D32" s="250"/>
      <c r="E32" s="250"/>
      <c r="F32" s="250"/>
      <c r="G32" s="250"/>
      <c r="H32" s="250"/>
      <c r="I32" s="250"/>
      <c r="J32" s="250"/>
      <c r="K32" s="250"/>
      <c r="L32" s="250"/>
      <c r="M32" s="250"/>
      <c r="N32" s="250"/>
      <c r="O32" s="250"/>
      <c r="P32" s="250"/>
      <c r="Q32" s="250"/>
      <c r="R32" s="250"/>
      <c r="S32" s="251"/>
      <c r="T32"/>
      <c r="U32"/>
      <c r="V32"/>
      <c r="W32"/>
      <c r="X32"/>
      <c r="Y32"/>
      <c r="Z32"/>
    </row>
    <row r="33" spans="1:26" ht="24" customHeight="1">
      <c r="A33" s="78" t="s">
        <v>216</v>
      </c>
      <c r="B33" s="83" t="s">
        <v>325</v>
      </c>
      <c r="C33" s="83" t="s">
        <v>272</v>
      </c>
      <c r="D33" s="83" t="s">
        <v>17</v>
      </c>
      <c r="E33" s="83" t="s">
        <v>39</v>
      </c>
      <c r="F33" s="83" t="s">
        <v>199</v>
      </c>
      <c r="G33" s="68">
        <v>1</v>
      </c>
      <c r="H33" s="88">
        <v>70</v>
      </c>
      <c r="I33" s="88">
        <v>70</v>
      </c>
      <c r="J33" s="88">
        <v>140</v>
      </c>
      <c r="K33" s="88">
        <v>250</v>
      </c>
      <c r="L33" s="88">
        <v>10</v>
      </c>
      <c r="M33" s="88">
        <v>70</v>
      </c>
      <c r="N33" s="93">
        <f>SUM(H33:M33)</f>
        <v>610</v>
      </c>
      <c r="O33" s="88">
        <v>800</v>
      </c>
      <c r="P33" s="101">
        <v>1140</v>
      </c>
      <c r="Q33" s="73" t="s">
        <v>155</v>
      </c>
      <c r="R33" s="98">
        <f>IFERROR(N33+IF(ISNUMBER(O33),O33,0)+IF(ISNUMBER(P33),P33,0),"")</f>
        <v>2550</v>
      </c>
      <c r="S33" s="107" t="s">
        <v>142</v>
      </c>
      <c r="T33"/>
      <c r="U33"/>
      <c r="V33"/>
      <c r="W33"/>
      <c r="X33"/>
      <c r="Y33"/>
      <c r="Z33"/>
    </row>
    <row r="34" spans="1:26" ht="24" customHeight="1">
      <c r="A34" s="78" t="s">
        <v>273</v>
      </c>
      <c r="B34" s="83" t="s">
        <v>274</v>
      </c>
      <c r="C34" s="83" t="s">
        <v>326</v>
      </c>
      <c r="D34" s="83" t="s">
        <v>17</v>
      </c>
      <c r="E34" s="83" t="s">
        <v>39</v>
      </c>
      <c r="F34" s="83" t="s">
        <v>199</v>
      </c>
      <c r="G34" s="68">
        <v>3</v>
      </c>
      <c r="H34" s="88">
        <v>70</v>
      </c>
      <c r="I34" s="88">
        <v>70</v>
      </c>
      <c r="J34" s="88">
        <v>140</v>
      </c>
      <c r="K34" s="88">
        <v>250</v>
      </c>
      <c r="L34" s="88">
        <v>10</v>
      </c>
      <c r="M34" s="88">
        <v>70</v>
      </c>
      <c r="N34" s="93">
        <f>SUM(H34:M34)</f>
        <v>610</v>
      </c>
      <c r="O34" s="88">
        <v>800</v>
      </c>
      <c r="P34" s="101">
        <v>1140</v>
      </c>
      <c r="Q34" s="73" t="s">
        <v>155</v>
      </c>
      <c r="R34" s="98">
        <f>IFERROR(N34+IF(ISNUMBER(O34),O34,0)+IF(ISNUMBER(P34),P34,0),"")</f>
        <v>2550</v>
      </c>
      <c r="S34" s="107" t="s">
        <v>142</v>
      </c>
      <c r="T34"/>
      <c r="U34"/>
      <c r="V34"/>
      <c r="W34"/>
      <c r="X34"/>
      <c r="Y34"/>
      <c r="Z34"/>
    </row>
    <row r="35" spans="1:26" ht="24" customHeight="1">
      <c r="A35" s="78" t="s">
        <v>218</v>
      </c>
      <c r="B35" s="83" t="s">
        <v>276</v>
      </c>
      <c r="C35" s="83" t="s">
        <v>272</v>
      </c>
      <c r="D35" s="83" t="s">
        <v>44</v>
      </c>
      <c r="E35" s="83" t="s">
        <v>39</v>
      </c>
      <c r="F35" s="83" t="s">
        <v>199</v>
      </c>
      <c r="G35" s="68">
        <v>0.5</v>
      </c>
      <c r="H35" s="88">
        <v>70</v>
      </c>
      <c r="I35" s="88">
        <v>70</v>
      </c>
      <c r="J35" s="88">
        <v>140</v>
      </c>
      <c r="K35" s="88">
        <v>420</v>
      </c>
      <c r="L35" s="88">
        <v>30</v>
      </c>
      <c r="M35" s="88">
        <v>70</v>
      </c>
      <c r="N35" s="93">
        <f>SUM(H35:M35)</f>
        <v>800</v>
      </c>
      <c r="O35" s="88">
        <v>800</v>
      </c>
      <c r="P35" s="101">
        <v>1340</v>
      </c>
      <c r="Q35" s="73" t="s">
        <v>219</v>
      </c>
      <c r="R35" s="98">
        <f>IFERROR(N35+IF(ISNUMBER(O35),O35,0)+IF(ISNUMBER(P35),P35,0),"")</f>
        <v>2940</v>
      </c>
      <c r="S35" s="107" t="s">
        <v>142</v>
      </c>
      <c r="T35"/>
      <c r="U35"/>
      <c r="V35"/>
      <c r="W35"/>
      <c r="X35"/>
      <c r="Y35"/>
      <c r="Z35"/>
    </row>
    <row r="36" spans="1:26" ht="24" customHeight="1">
      <c r="A36" s="78" t="s">
        <v>220</v>
      </c>
      <c r="B36" s="83" t="s">
        <v>278</v>
      </c>
      <c r="C36" s="83" t="s">
        <v>326</v>
      </c>
      <c r="D36" s="83" t="s">
        <v>46</v>
      </c>
      <c r="E36" s="83" t="s">
        <v>39</v>
      </c>
      <c r="F36" s="83" t="s">
        <v>199</v>
      </c>
      <c r="G36" s="68">
        <v>0.5</v>
      </c>
      <c r="H36" s="88">
        <v>70</v>
      </c>
      <c r="I36" s="88">
        <v>70</v>
      </c>
      <c r="J36" s="88">
        <v>140</v>
      </c>
      <c r="K36" s="88">
        <v>420</v>
      </c>
      <c r="L36" s="88">
        <v>30</v>
      </c>
      <c r="M36" s="88">
        <v>70</v>
      </c>
      <c r="N36" s="93">
        <f>SUM(H36:M36)</f>
        <v>800</v>
      </c>
      <c r="O36" s="88">
        <v>800</v>
      </c>
      <c r="P36" s="101" t="s">
        <v>221</v>
      </c>
      <c r="Q36" s="73" t="s">
        <v>222</v>
      </c>
      <c r="R36" s="98">
        <f>IFERROR(N36+IF(ISNUMBER(O36),O36,0)+IF(ISNUMBER(P36),P36,0),"")</f>
        <v>1600</v>
      </c>
      <c r="S36" s="107"/>
      <c r="T36"/>
      <c r="U36"/>
      <c r="V36"/>
      <c r="W36"/>
      <c r="X36"/>
      <c r="Y36"/>
      <c r="Z36"/>
    </row>
    <row r="37" spans="1:26" ht="24" customHeight="1">
      <c r="A37" s="78" t="s">
        <v>223</v>
      </c>
      <c r="B37" s="83" t="s">
        <v>326</v>
      </c>
      <c r="C37" s="83" t="s">
        <v>289</v>
      </c>
      <c r="D37" s="83" t="s">
        <v>39</v>
      </c>
      <c r="E37" s="83" t="s">
        <v>79</v>
      </c>
      <c r="F37" s="83" t="s">
        <v>224</v>
      </c>
      <c r="G37" s="68">
        <v>6</v>
      </c>
      <c r="H37" s="88">
        <v>70</v>
      </c>
      <c r="I37" s="88">
        <v>70</v>
      </c>
      <c r="J37" s="88">
        <v>140</v>
      </c>
      <c r="K37" s="88">
        <v>300</v>
      </c>
      <c r="L37" s="88">
        <v>30</v>
      </c>
      <c r="M37" s="88">
        <v>70</v>
      </c>
      <c r="N37" s="93">
        <f>SUM(H37:M37)</f>
        <v>680</v>
      </c>
      <c r="O37" s="88">
        <v>2200</v>
      </c>
      <c r="P37" s="101">
        <v>3490</v>
      </c>
      <c r="Q37" s="73" t="s">
        <v>154</v>
      </c>
      <c r="R37" s="98">
        <f>IFERROR(N37+IF(ISNUMBER(O37),O37,0)+IF(ISNUMBER(P37),P37,0),"")</f>
        <v>6370</v>
      </c>
      <c r="S37" s="107" t="s">
        <v>142</v>
      </c>
      <c r="T37"/>
      <c r="U37"/>
      <c r="V37"/>
      <c r="W37"/>
      <c r="X37"/>
      <c r="Y37"/>
      <c r="Z37"/>
    </row>
    <row r="38" spans="1:26" ht="22" customHeight="1">
      <c r="A38" s="234" t="s">
        <v>482</v>
      </c>
      <c r="B38" s="235"/>
      <c r="C38" s="235"/>
      <c r="D38" s="235"/>
      <c r="E38" s="235"/>
      <c r="F38" s="235"/>
      <c r="G38" s="235"/>
      <c r="H38" s="235"/>
      <c r="I38" s="235"/>
      <c r="J38" s="235"/>
      <c r="K38" s="235"/>
      <c r="L38" s="235"/>
      <c r="M38" s="235"/>
      <c r="N38" s="235"/>
      <c r="O38" s="235"/>
      <c r="P38" s="235"/>
      <c r="Q38" s="235"/>
      <c r="R38" s="235"/>
      <c r="S38" s="236"/>
      <c r="T38"/>
      <c r="U38"/>
      <c r="V38"/>
      <c r="W38"/>
      <c r="X38"/>
      <c r="Y38"/>
      <c r="Z38"/>
    </row>
    <row r="39" spans="1:26" ht="24" customHeight="1">
      <c r="A39" s="79" t="s">
        <v>211</v>
      </c>
      <c r="B39" s="84" t="s">
        <v>268</v>
      </c>
      <c r="C39" s="84" t="s">
        <v>289</v>
      </c>
      <c r="D39" s="84" t="s">
        <v>17</v>
      </c>
      <c r="E39" s="84" t="s">
        <v>79</v>
      </c>
      <c r="F39" s="84" t="s">
        <v>199</v>
      </c>
      <c r="G39" s="69">
        <v>1</v>
      </c>
      <c r="H39" s="89">
        <v>70</v>
      </c>
      <c r="I39" s="89">
        <v>70</v>
      </c>
      <c r="J39" s="89">
        <v>140</v>
      </c>
      <c r="K39" s="89">
        <v>400</v>
      </c>
      <c r="L39" s="89">
        <v>10</v>
      </c>
      <c r="M39" s="89">
        <v>70</v>
      </c>
      <c r="N39" s="94">
        <f>SUM(H39:M39)</f>
        <v>760</v>
      </c>
      <c r="O39" s="89">
        <v>2200</v>
      </c>
      <c r="P39" s="101">
        <v>2200</v>
      </c>
      <c r="Q39" s="74" t="s">
        <v>153</v>
      </c>
      <c r="R39" s="99">
        <f>IFERROR(N39+IF(ISNUMBER(O39),O39,0)+IF(ISNUMBER(P39),P39,0),"")</f>
        <v>5160</v>
      </c>
      <c r="S39" s="108" t="s">
        <v>212</v>
      </c>
      <c r="T39"/>
      <c r="U39"/>
      <c r="V39"/>
      <c r="W39"/>
      <c r="X39"/>
      <c r="Y39"/>
      <c r="Z39"/>
    </row>
    <row r="40" spans="1:26" ht="24" customHeight="1">
      <c r="A40" s="79" t="s">
        <v>214</v>
      </c>
      <c r="B40" s="84" t="s">
        <v>64</v>
      </c>
      <c r="C40" s="84" t="s">
        <v>289</v>
      </c>
      <c r="D40" s="84" t="s">
        <v>29</v>
      </c>
      <c r="E40" s="84" t="s">
        <v>79</v>
      </c>
      <c r="F40" s="84" t="s">
        <v>199</v>
      </c>
      <c r="G40" s="69">
        <v>2</v>
      </c>
      <c r="H40" s="89">
        <v>70</v>
      </c>
      <c r="I40" s="89">
        <v>70</v>
      </c>
      <c r="J40" s="89">
        <v>140</v>
      </c>
      <c r="K40" s="89">
        <v>300</v>
      </c>
      <c r="L40" s="89">
        <v>250</v>
      </c>
      <c r="M40" s="89">
        <v>70</v>
      </c>
      <c r="N40" s="94">
        <f>SUM(H40:M40)</f>
        <v>900</v>
      </c>
      <c r="O40" s="89">
        <v>2200</v>
      </c>
      <c r="P40" s="101">
        <v>1900</v>
      </c>
      <c r="Q40" s="74" t="s">
        <v>151</v>
      </c>
      <c r="R40" s="99">
        <f>IFERROR(N40+IF(ISNUMBER(O40),O40,0)+IF(ISNUMBER(P40),P40,0),"")</f>
        <v>5000</v>
      </c>
      <c r="S40" s="108" t="s">
        <v>212</v>
      </c>
      <c r="T40"/>
      <c r="U40"/>
      <c r="V40"/>
      <c r="W40"/>
      <c r="X40"/>
      <c r="Y40"/>
      <c r="Z40"/>
    </row>
    <row r="41" spans="1:26" ht="24" customHeight="1" thickBot="1">
      <c r="A41" s="80" t="s">
        <v>215</v>
      </c>
      <c r="B41" s="85" t="s">
        <v>74</v>
      </c>
      <c r="C41" s="85" t="s">
        <v>289</v>
      </c>
      <c r="D41" s="85" t="s">
        <v>56</v>
      </c>
      <c r="E41" s="85" t="s">
        <v>79</v>
      </c>
      <c r="F41" s="85" t="s">
        <v>199</v>
      </c>
      <c r="G41" s="70">
        <v>0.5</v>
      </c>
      <c r="H41" s="90">
        <v>70</v>
      </c>
      <c r="I41" s="90">
        <v>70</v>
      </c>
      <c r="J41" s="90">
        <v>140</v>
      </c>
      <c r="K41" s="90">
        <v>300</v>
      </c>
      <c r="L41" s="90">
        <v>250</v>
      </c>
      <c r="M41" s="90">
        <v>70</v>
      </c>
      <c r="N41" s="95">
        <f>SUM(H41:M41)</f>
        <v>900</v>
      </c>
      <c r="O41" s="90">
        <v>2200</v>
      </c>
      <c r="P41" s="102">
        <v>2690</v>
      </c>
      <c r="Q41" s="75" t="s">
        <v>154</v>
      </c>
      <c r="R41" s="100">
        <f>IFERROR(N41+IF(ISNUMBER(O41),O41,0)+IF(ISNUMBER(P41),P41,0),"")</f>
        <v>5790</v>
      </c>
      <c r="S41" s="109" t="s">
        <v>142</v>
      </c>
      <c r="T41"/>
      <c r="U41"/>
      <c r="V41"/>
      <c r="W41"/>
      <c r="X41"/>
      <c r="Y41"/>
      <c r="Z41"/>
    </row>
    <row r="42" spans="1:26">
      <c r="A42"/>
      <c r="B42"/>
      <c r="C42"/>
      <c r="D42"/>
      <c r="E42"/>
      <c r="F42"/>
      <c r="G42" s="64"/>
      <c r="H42" s="142"/>
      <c r="I42" s="142"/>
      <c r="J42" s="142"/>
      <c r="K42" s="142"/>
      <c r="L42" s="142"/>
      <c r="M42" s="142"/>
      <c r="N42" s="142"/>
      <c r="O42" s="142"/>
      <c r="P42" s="142"/>
      <c r="Q42"/>
      <c r="R42" s="142"/>
      <c r="S42"/>
      <c r="T42"/>
      <c r="U42"/>
      <c r="V42"/>
      <c r="W42"/>
      <c r="X42"/>
      <c r="Y42"/>
      <c r="Z42"/>
    </row>
    <row r="43" spans="1:26">
      <c r="A43"/>
      <c r="B43"/>
      <c r="C43"/>
      <c r="D43"/>
      <c r="E43"/>
      <c r="F43"/>
      <c r="G43" s="64"/>
      <c r="H43" s="142"/>
      <c r="I43" s="142"/>
      <c r="J43" s="142"/>
      <c r="K43" s="142"/>
      <c r="L43" s="142"/>
      <c r="M43" s="142"/>
      <c r="N43" s="142"/>
      <c r="O43" s="142"/>
      <c r="P43" s="142"/>
      <c r="Q43"/>
      <c r="R43" s="142"/>
      <c r="S43"/>
      <c r="T43"/>
      <c r="U43"/>
      <c r="V43"/>
      <c r="W43"/>
      <c r="X43"/>
      <c r="Y43"/>
      <c r="Z43"/>
    </row>
    <row r="44" spans="1:26">
      <c r="A44"/>
      <c r="B44"/>
      <c r="C44"/>
      <c r="D44"/>
      <c r="E44"/>
      <c r="F44"/>
      <c r="G44" s="64"/>
      <c r="H44" s="142"/>
      <c r="I44" s="142"/>
      <c r="J44" s="142"/>
      <c r="K44" s="142"/>
      <c r="L44" s="142"/>
      <c r="M44" s="142"/>
      <c r="N44" s="142"/>
      <c r="O44" s="142"/>
      <c r="P44" s="142"/>
      <c r="Q44"/>
      <c r="R44" s="142"/>
      <c r="S44"/>
      <c r="T44"/>
      <c r="U44"/>
      <c r="V44"/>
      <c r="W44"/>
      <c r="X44"/>
      <c r="Y44"/>
      <c r="Z44"/>
    </row>
    <row r="45" spans="1:26">
      <c r="A45"/>
      <c r="B45"/>
      <c r="C45"/>
      <c r="D45"/>
      <c r="E45"/>
      <c r="F45"/>
      <c r="G45" s="64"/>
      <c r="H45" s="142"/>
      <c r="I45" s="142"/>
      <c r="J45" s="142"/>
      <c r="K45" s="142"/>
      <c r="L45" s="142"/>
      <c r="M45" s="142"/>
      <c r="N45" s="142"/>
      <c r="O45" s="142"/>
      <c r="P45" s="142"/>
      <c r="Q45"/>
      <c r="R45" s="142"/>
      <c r="S45"/>
      <c r="T45"/>
      <c r="U45"/>
      <c r="V45"/>
      <c r="W45"/>
      <c r="X45"/>
      <c r="Y45"/>
      <c r="Z45"/>
    </row>
    <row r="46" spans="1:26">
      <c r="A46"/>
      <c r="B46"/>
      <c r="C46"/>
      <c r="D46"/>
      <c r="E46"/>
      <c r="F46"/>
      <c r="G46" s="64"/>
      <c r="H46" s="142"/>
      <c r="I46" s="142"/>
      <c r="J46" s="142"/>
      <c r="K46" s="142"/>
      <c r="L46" s="142"/>
      <c r="M46" s="142"/>
      <c r="N46" s="142"/>
      <c r="O46" s="142"/>
      <c r="P46" s="142"/>
      <c r="Q46"/>
      <c r="R46" s="142"/>
      <c r="S46"/>
      <c r="T46"/>
      <c r="U46"/>
      <c r="V46"/>
      <c r="W46"/>
      <c r="X46"/>
      <c r="Y46"/>
      <c r="Z46"/>
    </row>
    <row r="47" spans="1:26">
      <c r="A47"/>
      <c r="B47"/>
      <c r="C47"/>
      <c r="D47"/>
      <c r="E47"/>
      <c r="F47"/>
      <c r="G47" s="64"/>
      <c r="H47" s="142"/>
      <c r="I47" s="142"/>
      <c r="J47" s="142"/>
      <c r="K47" s="142"/>
      <c r="L47" s="142"/>
      <c r="M47" s="142"/>
      <c r="N47" s="142"/>
      <c r="O47" s="142"/>
      <c r="P47" s="142"/>
      <c r="Q47"/>
      <c r="R47" s="142"/>
      <c r="S47"/>
      <c r="T47"/>
      <c r="U47"/>
      <c r="V47"/>
      <c r="W47"/>
      <c r="X47"/>
      <c r="Y47"/>
      <c r="Z47"/>
    </row>
    <row r="48" spans="1:26">
      <c r="A48"/>
      <c r="B48"/>
      <c r="C48"/>
      <c r="D48"/>
      <c r="E48"/>
      <c r="F48"/>
      <c r="G48" s="64"/>
      <c r="H48" s="142"/>
      <c r="I48" s="142"/>
      <c r="J48" s="142"/>
      <c r="K48" s="142"/>
      <c r="L48" s="142"/>
      <c r="M48" s="142"/>
      <c r="N48" s="142"/>
      <c r="O48" s="142"/>
      <c r="P48" s="142"/>
      <c r="Q48"/>
      <c r="R48" s="142"/>
      <c r="S48"/>
      <c r="T48"/>
      <c r="U48"/>
      <c r="V48"/>
      <c r="W48"/>
      <c r="X48"/>
      <c r="Y48"/>
      <c r="Z48"/>
    </row>
    <row r="49" spans="1:26">
      <c r="A49"/>
      <c r="B49"/>
      <c r="C49"/>
      <c r="D49"/>
      <c r="E49"/>
      <c r="F49"/>
      <c r="G49" s="64"/>
      <c r="H49" s="142"/>
      <c r="I49" s="142"/>
      <c r="J49" s="142"/>
      <c r="K49" s="142"/>
      <c r="L49" s="142"/>
      <c r="M49" s="142"/>
      <c r="N49" s="142"/>
      <c r="O49" s="142"/>
      <c r="P49" s="142"/>
      <c r="Q49"/>
      <c r="R49" s="142"/>
      <c r="S49"/>
      <c r="T49"/>
      <c r="U49"/>
      <c r="V49"/>
      <c r="W49"/>
      <c r="X49"/>
      <c r="Y49"/>
      <c r="Z49"/>
    </row>
    <row r="50" spans="1:26">
      <c r="A50"/>
      <c r="B50"/>
      <c r="C50"/>
      <c r="D50"/>
      <c r="E50"/>
      <c r="F50"/>
      <c r="G50" s="64"/>
      <c r="H50" s="142"/>
      <c r="I50" s="142"/>
      <c r="J50" s="142"/>
      <c r="K50" s="142"/>
      <c r="L50" s="142"/>
      <c r="M50" s="142"/>
      <c r="N50" s="142"/>
      <c r="O50" s="142"/>
      <c r="P50" s="142"/>
      <c r="Q50"/>
      <c r="R50" s="142"/>
      <c r="S50"/>
      <c r="T50"/>
      <c r="U50"/>
      <c r="V50"/>
      <c r="W50"/>
      <c r="X50"/>
      <c r="Y50"/>
      <c r="Z50"/>
    </row>
    <row r="51" spans="1:26">
      <c r="A51"/>
      <c r="B51"/>
      <c r="C51"/>
      <c r="D51"/>
      <c r="E51"/>
      <c r="F51"/>
      <c r="G51" s="64"/>
      <c r="H51" s="142"/>
      <c r="I51" s="142"/>
      <c r="J51" s="142"/>
      <c r="K51" s="142"/>
      <c r="L51" s="142"/>
      <c r="M51" s="142"/>
      <c r="N51" s="142"/>
      <c r="O51" s="142"/>
      <c r="P51" s="142"/>
      <c r="Q51"/>
      <c r="R51" s="142"/>
      <c r="S51"/>
      <c r="T51"/>
      <c r="U51"/>
      <c r="V51"/>
      <c r="W51"/>
      <c r="X51"/>
      <c r="Y51"/>
      <c r="Z51"/>
    </row>
    <row r="52" spans="1:26">
      <c r="A52"/>
      <c r="B52"/>
      <c r="C52"/>
      <c r="D52"/>
      <c r="E52"/>
      <c r="F52"/>
      <c r="G52" s="64"/>
      <c r="H52" s="142"/>
      <c r="I52" s="142"/>
      <c r="J52" s="142"/>
      <c r="K52" s="142"/>
      <c r="L52" s="142"/>
      <c r="M52" s="142"/>
      <c r="N52" s="142"/>
      <c r="O52" s="142"/>
      <c r="P52" s="142"/>
      <c r="Q52"/>
      <c r="R52" s="142"/>
      <c r="S52"/>
      <c r="T52"/>
      <c r="U52"/>
      <c r="V52"/>
      <c r="W52"/>
      <c r="X52"/>
      <c r="Y52"/>
      <c r="Z52"/>
    </row>
    <row r="53" spans="1:26">
      <c r="A53"/>
      <c r="B53"/>
      <c r="C53"/>
      <c r="D53"/>
      <c r="E53"/>
      <c r="F53"/>
      <c r="G53" s="64"/>
      <c r="H53" s="142"/>
      <c r="I53" s="142"/>
      <c r="J53" s="142"/>
      <c r="K53" s="142"/>
      <c r="L53" s="142"/>
      <c r="M53" s="142"/>
      <c r="N53" s="142"/>
      <c r="O53" s="142"/>
      <c r="P53" s="142"/>
      <c r="Q53"/>
      <c r="R53" s="142"/>
      <c r="S53"/>
      <c r="T53"/>
      <c r="U53"/>
      <c r="V53"/>
      <c r="W53"/>
      <c r="X53"/>
      <c r="Y53"/>
      <c r="Z53"/>
    </row>
    <row r="54" spans="1:26">
      <c r="A54"/>
      <c r="B54"/>
      <c r="C54"/>
      <c r="D54"/>
      <c r="E54"/>
      <c r="F54"/>
      <c r="G54" s="64"/>
      <c r="H54" s="142"/>
      <c r="I54" s="142"/>
      <c r="J54" s="142"/>
      <c r="K54" s="142"/>
      <c r="L54" s="142"/>
      <c r="M54" s="142"/>
      <c r="N54" s="142"/>
      <c r="O54" s="142"/>
      <c r="P54" s="142"/>
      <c r="Q54"/>
      <c r="R54" s="142"/>
      <c r="S54"/>
      <c r="T54"/>
      <c r="U54"/>
      <c r="V54"/>
      <c r="W54"/>
      <c r="X54"/>
      <c r="Y54"/>
      <c r="Z54"/>
    </row>
    <row r="55" spans="1:26">
      <c r="A55"/>
      <c r="B55"/>
      <c r="C55"/>
      <c r="D55"/>
      <c r="E55"/>
      <c r="F55"/>
      <c r="G55" s="64"/>
      <c r="H55" s="142"/>
      <c r="I55" s="142"/>
      <c r="J55" s="142"/>
      <c r="K55" s="142"/>
      <c r="L55" s="142"/>
      <c r="M55" s="142"/>
      <c r="N55" s="142"/>
      <c r="O55" s="142"/>
      <c r="P55" s="142"/>
      <c r="Q55"/>
      <c r="R55" s="142"/>
      <c r="S55"/>
      <c r="T55"/>
      <c r="U55"/>
      <c r="V55"/>
      <c r="W55"/>
      <c r="X55"/>
      <c r="Y55"/>
      <c r="Z55"/>
    </row>
    <row r="56" spans="1:26">
      <c r="A56"/>
      <c r="B56"/>
      <c r="C56"/>
      <c r="D56"/>
      <c r="E56"/>
      <c r="F56"/>
      <c r="G56" s="64"/>
      <c r="H56" s="142"/>
      <c r="I56" s="142"/>
      <c r="J56" s="142"/>
      <c r="K56" s="142"/>
      <c r="L56" s="142"/>
      <c r="M56" s="142"/>
      <c r="N56" s="142"/>
      <c r="O56" s="142"/>
      <c r="P56" s="142"/>
      <c r="Q56"/>
      <c r="R56" s="142"/>
      <c r="S56"/>
      <c r="T56"/>
      <c r="U56"/>
      <c r="V56"/>
      <c r="W56"/>
      <c r="X56"/>
      <c r="Y56"/>
      <c r="Z56"/>
    </row>
    <row r="57" spans="1:26">
      <c r="A57"/>
      <c r="B57"/>
      <c r="C57"/>
      <c r="D57"/>
      <c r="E57"/>
      <c r="F57"/>
      <c r="G57" s="64"/>
      <c r="H57" s="142"/>
      <c r="I57" s="142"/>
      <c r="J57" s="142"/>
      <c r="K57" s="142"/>
      <c r="L57" s="142"/>
      <c r="M57" s="142"/>
      <c r="N57" s="142"/>
      <c r="O57" s="142"/>
      <c r="P57" s="142"/>
      <c r="Q57"/>
      <c r="R57" s="142"/>
      <c r="S57"/>
      <c r="T57"/>
      <c r="U57"/>
      <c r="V57"/>
      <c r="W57"/>
      <c r="X57"/>
      <c r="Y57"/>
      <c r="Z57"/>
    </row>
    <row r="58" spans="1:26">
      <c r="A58"/>
      <c r="B58"/>
      <c r="C58"/>
      <c r="D58"/>
      <c r="E58"/>
      <c r="F58"/>
      <c r="G58" s="64"/>
      <c r="H58" s="142"/>
      <c r="I58" s="142"/>
      <c r="J58" s="142"/>
      <c r="K58" s="142"/>
      <c r="L58" s="142"/>
      <c r="M58" s="142"/>
      <c r="N58" s="142"/>
      <c r="O58" s="142"/>
      <c r="P58" s="142"/>
      <c r="Q58"/>
      <c r="R58" s="142"/>
      <c r="S58"/>
      <c r="T58"/>
      <c r="U58"/>
      <c r="V58"/>
      <c r="W58"/>
      <c r="X58"/>
      <c r="Y58"/>
      <c r="Z58"/>
    </row>
    <row r="59" spans="1:26">
      <c r="A59"/>
      <c r="B59"/>
      <c r="C59"/>
      <c r="D59"/>
      <c r="E59"/>
      <c r="F59"/>
      <c r="G59" s="64"/>
      <c r="H59" s="142"/>
      <c r="I59" s="142"/>
      <c r="J59" s="142"/>
      <c r="K59" s="142"/>
      <c r="L59" s="142"/>
      <c r="M59" s="142"/>
      <c r="N59" s="142"/>
      <c r="O59" s="142"/>
      <c r="P59" s="142"/>
      <c r="Q59"/>
      <c r="R59" s="142"/>
      <c r="S59"/>
      <c r="T59"/>
      <c r="U59"/>
      <c r="V59"/>
      <c r="W59"/>
      <c r="X59"/>
      <c r="Y59"/>
      <c r="Z59"/>
    </row>
    <row r="60" spans="1:26">
      <c r="A60"/>
      <c r="B60"/>
      <c r="C60"/>
      <c r="D60"/>
      <c r="E60"/>
      <c r="F60"/>
      <c r="G60" s="64"/>
      <c r="H60" s="142"/>
      <c r="I60" s="142"/>
      <c r="J60" s="142"/>
      <c r="K60" s="142"/>
      <c r="L60" s="142"/>
      <c r="M60" s="142"/>
      <c r="N60" s="142"/>
      <c r="O60" s="142"/>
      <c r="P60" s="142"/>
      <c r="Q60"/>
      <c r="R60" s="142"/>
      <c r="S60"/>
      <c r="T60"/>
      <c r="U60"/>
      <c r="V60"/>
      <c r="W60"/>
      <c r="X60"/>
      <c r="Y60"/>
      <c r="Z60"/>
    </row>
  </sheetData>
  <protectedRanges>
    <protectedRange sqref="R16:R17" name="区域1_1_2_2_1"/>
  </protectedRanges>
  <mergeCells count="6">
    <mergeCell ref="A38:S38"/>
    <mergeCell ref="A2:S2"/>
    <mergeCell ref="A5:S5"/>
    <mergeCell ref="A23:S23"/>
    <mergeCell ref="A29:S29"/>
    <mergeCell ref="A32:S32"/>
  </mergeCells>
  <phoneticPr fontId="7"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3CB5C-8B21-47E5-9C06-20F8230B836E}">
  <dimension ref="A1:Z50"/>
  <sheetViews>
    <sheetView topLeftCell="C1" zoomScale="85" zoomScaleNormal="85" workbookViewId="0">
      <pane ySplit="1" topLeftCell="A2" activePane="bottomLeft" state="frozen"/>
      <selection activeCell="C1" sqref="C1"/>
      <selection pane="bottomLeft" activeCell="D12" sqref="D12"/>
    </sheetView>
  </sheetViews>
  <sheetFormatPr baseColWidth="10" defaultColWidth="9" defaultRowHeight="15"/>
  <cols>
    <col min="1" max="1" width="21.6640625" style="32" customWidth="1"/>
    <col min="2" max="2" width="26.6640625" style="39" customWidth="1"/>
    <col min="3" max="3" width="26.6640625" style="38" customWidth="1"/>
    <col min="4" max="5" width="11.6640625" style="37" customWidth="1"/>
    <col min="6" max="6" width="10" style="37" customWidth="1"/>
    <col min="7" max="7" width="10.83203125" style="37" customWidth="1"/>
    <col min="8" max="8" width="9.1640625" style="37" customWidth="1"/>
    <col min="9" max="9" width="8.33203125" style="37" customWidth="1"/>
    <col min="10" max="10" width="9.1640625" style="37" customWidth="1"/>
    <col min="11" max="12" width="10" style="37" customWidth="1"/>
    <col min="13" max="13" width="8.33203125" style="37" customWidth="1"/>
    <col min="14" max="14" width="12.5" style="37" customWidth="1"/>
    <col min="15" max="15" width="10.83203125" style="37" customWidth="1"/>
    <col min="16" max="16" width="11.6640625" style="37" customWidth="1"/>
    <col min="17" max="17" width="13.33203125" style="37" customWidth="1"/>
    <col min="18" max="18" width="13.33203125" style="34" customWidth="1"/>
    <col min="19" max="19" width="14.1640625" style="33" customWidth="1"/>
    <col min="20" max="16384" width="9" style="32"/>
  </cols>
  <sheetData>
    <row r="1" spans="1:26" ht="20" customHeight="1" thickBot="1">
      <c r="A1" s="176" t="s">
        <v>253</v>
      </c>
      <c r="B1" s="177" t="s">
        <v>1</v>
      </c>
      <c r="C1" s="177" t="s">
        <v>2</v>
      </c>
      <c r="D1" s="177" t="s">
        <v>254</v>
      </c>
      <c r="E1" s="177" t="s">
        <v>255</v>
      </c>
      <c r="F1" s="177" t="s">
        <v>190</v>
      </c>
      <c r="G1" s="177" t="s">
        <v>191</v>
      </c>
      <c r="H1" s="177" t="s">
        <v>256</v>
      </c>
      <c r="I1" s="177" t="s">
        <v>257</v>
      </c>
      <c r="J1" s="177" t="s">
        <v>258</v>
      </c>
      <c r="K1" s="177" t="s">
        <v>259</v>
      </c>
      <c r="L1" s="177" t="s">
        <v>260</v>
      </c>
      <c r="M1" s="177" t="s">
        <v>261</v>
      </c>
      <c r="N1" s="177" t="s">
        <v>291</v>
      </c>
      <c r="O1" s="177" t="s">
        <v>292</v>
      </c>
      <c r="P1" s="178" t="s">
        <v>262</v>
      </c>
      <c r="Q1" s="177" t="s">
        <v>263</v>
      </c>
      <c r="R1" s="177" t="s">
        <v>264</v>
      </c>
      <c r="S1" s="179" t="s">
        <v>293</v>
      </c>
      <c r="T1"/>
      <c r="U1"/>
      <c r="V1"/>
      <c r="W1"/>
      <c r="X1"/>
      <c r="Y1"/>
      <c r="Z1"/>
    </row>
    <row r="2" spans="1:26" ht="22" customHeight="1">
      <c r="A2" s="237" t="s">
        <v>483</v>
      </c>
      <c r="B2" s="238"/>
      <c r="C2" s="238"/>
      <c r="D2" s="238"/>
      <c r="E2" s="238"/>
      <c r="F2" s="238"/>
      <c r="G2" s="238"/>
      <c r="H2" s="238"/>
      <c r="I2" s="238"/>
      <c r="J2" s="238"/>
      <c r="K2" s="238"/>
      <c r="L2" s="238"/>
      <c r="M2" s="238"/>
      <c r="N2" s="238"/>
      <c r="O2" s="238"/>
      <c r="P2" s="238"/>
      <c r="Q2" s="238"/>
      <c r="R2" s="238"/>
      <c r="S2" s="239"/>
      <c r="T2"/>
      <c r="U2"/>
      <c r="V2"/>
      <c r="W2"/>
      <c r="X2"/>
      <c r="Y2"/>
      <c r="Z2"/>
    </row>
    <row r="3" spans="1:26" ht="24" customHeight="1">
      <c r="A3" s="154" t="s">
        <v>192</v>
      </c>
      <c r="B3" s="155" t="s">
        <v>268</v>
      </c>
      <c r="C3" s="155" t="s">
        <v>269</v>
      </c>
      <c r="D3" s="155" t="s">
        <v>17</v>
      </c>
      <c r="E3" s="155" t="s">
        <v>31</v>
      </c>
      <c r="F3" s="155" t="s">
        <v>194</v>
      </c>
      <c r="G3" s="156">
        <v>8</v>
      </c>
      <c r="H3" s="157">
        <v>70</v>
      </c>
      <c r="I3" s="157">
        <v>70</v>
      </c>
      <c r="J3" s="157">
        <v>140</v>
      </c>
      <c r="K3" s="157">
        <v>400</v>
      </c>
      <c r="L3" s="157">
        <v>10</v>
      </c>
      <c r="M3" s="157">
        <v>70</v>
      </c>
      <c r="N3" s="158">
        <f>SUM(H3:M3)</f>
        <v>760</v>
      </c>
      <c r="O3" s="157">
        <v>950</v>
      </c>
      <c r="P3" s="101">
        <v>4000</v>
      </c>
      <c r="Q3" s="159" t="s">
        <v>151</v>
      </c>
      <c r="R3" s="160">
        <f>IFERROR(N3+IF(ISNUMBER(O3),O3,0)+IF(ISNUMBER(P3),P3,0),"")</f>
        <v>5710</v>
      </c>
      <c r="S3" s="161" t="s">
        <v>367</v>
      </c>
      <c r="T3"/>
      <c r="U3"/>
      <c r="V3"/>
      <c r="W3"/>
      <c r="X3"/>
      <c r="Y3"/>
      <c r="Z3"/>
    </row>
    <row r="4" spans="1:26" ht="24" customHeight="1">
      <c r="A4" s="154" t="s">
        <v>198</v>
      </c>
      <c r="B4" s="155" t="s">
        <v>270</v>
      </c>
      <c r="C4" s="155" t="s">
        <v>269</v>
      </c>
      <c r="D4" s="155" t="s">
        <v>17</v>
      </c>
      <c r="E4" s="155" t="s">
        <v>31</v>
      </c>
      <c r="F4" s="155" t="s">
        <v>199</v>
      </c>
      <c r="G4" s="156">
        <v>1</v>
      </c>
      <c r="H4" s="157">
        <v>70</v>
      </c>
      <c r="I4" s="157">
        <v>70</v>
      </c>
      <c r="J4" s="157">
        <v>170</v>
      </c>
      <c r="K4" s="157">
        <v>250</v>
      </c>
      <c r="L4" s="157">
        <v>50</v>
      </c>
      <c r="M4" s="157">
        <v>50</v>
      </c>
      <c r="N4" s="158">
        <f>SUM(H4:M4)</f>
        <v>660</v>
      </c>
      <c r="O4" s="157">
        <v>950</v>
      </c>
      <c r="P4" s="101">
        <v>5000</v>
      </c>
      <c r="Q4" s="159" t="s">
        <v>195</v>
      </c>
      <c r="R4" s="160">
        <f>IFERROR(N4+IF(ISNUMBER(O4),O4,0)+IF(ISNUMBER(P4),P4,0),"")</f>
        <v>6610</v>
      </c>
      <c r="S4" s="161" t="s">
        <v>212</v>
      </c>
      <c r="T4"/>
      <c r="U4"/>
      <c r="V4"/>
      <c r="W4"/>
      <c r="X4"/>
      <c r="Y4"/>
      <c r="Z4"/>
    </row>
    <row r="5" spans="1:26" ht="22" customHeight="1">
      <c r="A5" s="240" t="s">
        <v>484</v>
      </c>
      <c r="B5" s="241"/>
      <c r="C5" s="241"/>
      <c r="D5" s="241"/>
      <c r="E5" s="241"/>
      <c r="F5" s="241"/>
      <c r="G5" s="241"/>
      <c r="H5" s="241"/>
      <c r="I5" s="241"/>
      <c r="J5" s="241"/>
      <c r="K5" s="241"/>
      <c r="L5" s="241"/>
      <c r="M5" s="241"/>
      <c r="N5" s="241"/>
      <c r="O5" s="241"/>
      <c r="P5" s="241"/>
      <c r="Q5" s="241"/>
      <c r="R5" s="241"/>
      <c r="S5" s="242"/>
      <c r="T5"/>
      <c r="U5"/>
      <c r="V5"/>
      <c r="W5"/>
      <c r="X5"/>
      <c r="Y5"/>
      <c r="Z5"/>
    </row>
    <row r="6" spans="1:26" ht="24" customHeight="1">
      <c r="A6" s="76" t="s">
        <v>228</v>
      </c>
      <c r="B6" s="81" t="s">
        <v>40</v>
      </c>
      <c r="C6" s="81" t="s">
        <v>229</v>
      </c>
      <c r="D6" s="81" t="s">
        <v>39</v>
      </c>
      <c r="E6" s="81" t="s">
        <v>105</v>
      </c>
      <c r="F6" s="81" t="s">
        <v>230</v>
      </c>
      <c r="G6" s="66">
        <v>4</v>
      </c>
      <c r="H6" s="86">
        <v>70</v>
      </c>
      <c r="I6" s="86">
        <v>50</v>
      </c>
      <c r="J6" s="86">
        <v>260</v>
      </c>
      <c r="K6" s="86">
        <v>250</v>
      </c>
      <c r="L6" s="86">
        <v>90</v>
      </c>
      <c r="M6" s="86">
        <v>80</v>
      </c>
      <c r="N6" s="91">
        <f t="shared" ref="N6:N22" si="0">SUM(H6:M6)</f>
        <v>800</v>
      </c>
      <c r="O6" s="86" t="s">
        <v>169</v>
      </c>
      <c r="P6" s="101">
        <v>1200</v>
      </c>
      <c r="Q6" s="71" t="s">
        <v>265</v>
      </c>
      <c r="R6" s="96">
        <f t="shared" ref="R6:R22" si="1">IFERROR(N6+IF(ISNUMBER(O6),O6,0)+IF(ISNUMBER(P6),P6,0),"")</f>
        <v>2000</v>
      </c>
      <c r="S6" s="105" t="s">
        <v>141</v>
      </c>
      <c r="T6"/>
      <c r="U6"/>
      <c r="V6"/>
      <c r="W6"/>
      <c r="X6"/>
      <c r="Y6"/>
      <c r="Z6"/>
    </row>
    <row r="7" spans="1:26" ht="24" customHeight="1">
      <c r="A7" s="76" t="s">
        <v>231</v>
      </c>
      <c r="B7" s="81" t="s">
        <v>232</v>
      </c>
      <c r="C7" s="81" t="s">
        <v>233</v>
      </c>
      <c r="D7" s="81" t="s">
        <v>56</v>
      </c>
      <c r="E7" s="81" t="s">
        <v>105</v>
      </c>
      <c r="F7" s="81" t="s">
        <v>230</v>
      </c>
      <c r="G7" s="66">
        <v>1</v>
      </c>
      <c r="H7" s="86">
        <v>70</v>
      </c>
      <c r="I7" s="86">
        <v>50</v>
      </c>
      <c r="J7" s="86">
        <v>260</v>
      </c>
      <c r="K7" s="86">
        <v>325</v>
      </c>
      <c r="L7" s="86">
        <v>90</v>
      </c>
      <c r="M7" s="86">
        <v>80</v>
      </c>
      <c r="N7" s="91">
        <f t="shared" si="0"/>
        <v>875</v>
      </c>
      <c r="O7" s="86" t="s">
        <v>169</v>
      </c>
      <c r="P7" s="101">
        <v>1200</v>
      </c>
      <c r="Q7" s="71" t="s">
        <v>265</v>
      </c>
      <c r="R7" s="96">
        <f t="shared" si="1"/>
        <v>2075</v>
      </c>
      <c r="S7" s="105" t="s">
        <v>141</v>
      </c>
      <c r="T7"/>
      <c r="U7"/>
      <c r="V7"/>
      <c r="W7"/>
      <c r="X7"/>
      <c r="Y7"/>
      <c r="Z7"/>
    </row>
    <row r="8" spans="1:26" ht="24" customHeight="1">
      <c r="A8" s="76" t="s">
        <v>234</v>
      </c>
      <c r="B8" s="81" t="s">
        <v>94</v>
      </c>
      <c r="C8" s="81" t="s">
        <v>235</v>
      </c>
      <c r="D8" s="81" t="s">
        <v>39</v>
      </c>
      <c r="E8" s="81" t="s">
        <v>105</v>
      </c>
      <c r="F8" s="81" t="s">
        <v>230</v>
      </c>
      <c r="G8" s="66">
        <v>0.5</v>
      </c>
      <c r="H8" s="86">
        <v>70</v>
      </c>
      <c r="I8" s="86">
        <v>50</v>
      </c>
      <c r="J8" s="86">
        <v>260</v>
      </c>
      <c r="K8" s="86">
        <v>250</v>
      </c>
      <c r="L8" s="86">
        <v>90</v>
      </c>
      <c r="M8" s="86">
        <v>80</v>
      </c>
      <c r="N8" s="91">
        <f t="shared" si="0"/>
        <v>800</v>
      </c>
      <c r="O8" s="86" t="s">
        <v>169</v>
      </c>
      <c r="P8" s="101">
        <v>1200</v>
      </c>
      <c r="Q8" s="71" t="s">
        <v>265</v>
      </c>
      <c r="R8" s="96">
        <f t="shared" si="1"/>
        <v>2000</v>
      </c>
      <c r="S8" s="105" t="s">
        <v>141</v>
      </c>
      <c r="T8"/>
      <c r="U8"/>
      <c r="V8"/>
      <c r="W8"/>
      <c r="X8"/>
      <c r="Y8"/>
      <c r="Z8"/>
    </row>
    <row r="9" spans="1:26" ht="24" customHeight="1">
      <c r="A9" s="76" t="s">
        <v>236</v>
      </c>
      <c r="B9" s="81" t="s">
        <v>102</v>
      </c>
      <c r="C9" s="81" t="s">
        <v>233</v>
      </c>
      <c r="D9" s="81" t="s">
        <v>29</v>
      </c>
      <c r="E9" s="81" t="s">
        <v>105</v>
      </c>
      <c r="F9" s="81" t="s">
        <v>230</v>
      </c>
      <c r="G9" s="66">
        <v>1</v>
      </c>
      <c r="H9" s="86">
        <v>70</v>
      </c>
      <c r="I9" s="86">
        <v>80</v>
      </c>
      <c r="J9" s="86">
        <v>160</v>
      </c>
      <c r="K9" s="86">
        <v>1000</v>
      </c>
      <c r="L9" s="86">
        <v>50</v>
      </c>
      <c r="M9" s="86">
        <v>75</v>
      </c>
      <c r="N9" s="91">
        <f t="shared" si="0"/>
        <v>1435</v>
      </c>
      <c r="O9" s="86" t="s">
        <v>169</v>
      </c>
      <c r="P9" s="101">
        <v>2150</v>
      </c>
      <c r="Q9" s="71" t="s">
        <v>266</v>
      </c>
      <c r="R9" s="96">
        <f t="shared" si="1"/>
        <v>3585</v>
      </c>
      <c r="S9" s="105" t="s">
        <v>142</v>
      </c>
      <c r="T9"/>
      <c r="U9"/>
      <c r="V9"/>
      <c r="W9"/>
      <c r="X9"/>
      <c r="Y9"/>
      <c r="Z9"/>
    </row>
    <row r="10" spans="1:26" ht="24" customHeight="1">
      <c r="A10" s="76" t="s">
        <v>237</v>
      </c>
      <c r="B10" s="81" t="s">
        <v>103</v>
      </c>
      <c r="C10" s="81" t="s">
        <v>233</v>
      </c>
      <c r="D10" s="81" t="s">
        <v>227</v>
      </c>
      <c r="E10" s="81" t="s">
        <v>105</v>
      </c>
      <c r="F10" s="81" t="s">
        <v>230</v>
      </c>
      <c r="G10" s="66">
        <v>0.5</v>
      </c>
      <c r="H10" s="86">
        <v>70</v>
      </c>
      <c r="I10" s="86">
        <v>35</v>
      </c>
      <c r="J10" s="86">
        <v>145</v>
      </c>
      <c r="K10" s="86">
        <v>350</v>
      </c>
      <c r="L10" s="86">
        <v>150</v>
      </c>
      <c r="M10" s="86">
        <v>50</v>
      </c>
      <c r="N10" s="91">
        <f t="shared" si="0"/>
        <v>800</v>
      </c>
      <c r="O10" s="86" t="s">
        <v>169</v>
      </c>
      <c r="P10" s="101">
        <v>2150</v>
      </c>
      <c r="Q10" s="71" t="s">
        <v>267</v>
      </c>
      <c r="R10" s="96">
        <f t="shared" si="1"/>
        <v>2950</v>
      </c>
      <c r="S10" s="105" t="s">
        <v>142</v>
      </c>
      <c r="T10"/>
      <c r="U10"/>
      <c r="V10"/>
      <c r="W10"/>
      <c r="X10"/>
      <c r="Y10"/>
      <c r="Z10"/>
    </row>
    <row r="11" spans="1:26" ht="24" customHeight="1">
      <c r="A11" s="76" t="s">
        <v>238</v>
      </c>
      <c r="B11" s="81" t="s">
        <v>82</v>
      </c>
      <c r="C11" s="81" t="s">
        <v>235</v>
      </c>
      <c r="D11" s="81" t="s">
        <v>17</v>
      </c>
      <c r="E11" s="81" t="s">
        <v>105</v>
      </c>
      <c r="F11" s="81" t="s">
        <v>239</v>
      </c>
      <c r="G11" s="66">
        <v>1</v>
      </c>
      <c r="H11" s="86">
        <v>70</v>
      </c>
      <c r="I11" s="86">
        <v>70</v>
      </c>
      <c r="J11" s="86">
        <v>145</v>
      </c>
      <c r="K11" s="86">
        <v>550</v>
      </c>
      <c r="L11" s="86">
        <v>15</v>
      </c>
      <c r="M11" s="86">
        <v>60</v>
      </c>
      <c r="N11" s="91">
        <f t="shared" si="0"/>
        <v>910</v>
      </c>
      <c r="O11" s="86" t="s">
        <v>169</v>
      </c>
      <c r="P11" s="101">
        <v>1200</v>
      </c>
      <c r="Q11" s="71" t="s">
        <v>219</v>
      </c>
      <c r="R11" s="96">
        <f t="shared" si="1"/>
        <v>2110</v>
      </c>
      <c r="S11" s="105" t="s">
        <v>142</v>
      </c>
      <c r="T11"/>
      <c r="U11"/>
      <c r="V11"/>
      <c r="W11"/>
      <c r="X11"/>
      <c r="Y11"/>
      <c r="Z11"/>
    </row>
    <row r="12" spans="1:26" ht="24" customHeight="1">
      <c r="A12" s="76" t="s">
        <v>240</v>
      </c>
      <c r="B12" s="81" t="s">
        <v>83</v>
      </c>
      <c r="C12" s="81" t="s">
        <v>235</v>
      </c>
      <c r="D12" s="81" t="s">
        <v>17</v>
      </c>
      <c r="E12" s="81" t="s">
        <v>105</v>
      </c>
      <c r="F12" s="81" t="s">
        <v>230</v>
      </c>
      <c r="G12" s="66">
        <v>0.5</v>
      </c>
      <c r="H12" s="86">
        <v>70</v>
      </c>
      <c r="I12" s="86">
        <v>70</v>
      </c>
      <c r="J12" s="86">
        <v>145</v>
      </c>
      <c r="K12" s="86">
        <v>550</v>
      </c>
      <c r="L12" s="86">
        <v>15</v>
      </c>
      <c r="M12" s="86">
        <v>60</v>
      </c>
      <c r="N12" s="91">
        <f t="shared" si="0"/>
        <v>910</v>
      </c>
      <c r="O12" s="86" t="s">
        <v>169</v>
      </c>
      <c r="P12" s="101">
        <v>1200</v>
      </c>
      <c r="Q12" s="71" t="s">
        <v>219</v>
      </c>
      <c r="R12" s="96">
        <f t="shared" si="1"/>
        <v>2110</v>
      </c>
      <c r="S12" s="105" t="s">
        <v>142</v>
      </c>
      <c r="T12"/>
      <c r="U12"/>
      <c r="V12"/>
      <c r="W12"/>
      <c r="X12"/>
      <c r="Y12"/>
      <c r="Z12"/>
    </row>
    <row r="13" spans="1:26" ht="24" customHeight="1">
      <c r="A13" s="76" t="s">
        <v>241</v>
      </c>
      <c r="B13" s="81" t="s">
        <v>84</v>
      </c>
      <c r="C13" s="81" t="s">
        <v>235</v>
      </c>
      <c r="D13" s="81" t="s">
        <v>17</v>
      </c>
      <c r="E13" s="81" t="s">
        <v>105</v>
      </c>
      <c r="F13" s="81" t="s">
        <v>230</v>
      </c>
      <c r="G13" s="66">
        <v>0.5</v>
      </c>
      <c r="H13" s="86">
        <v>70</v>
      </c>
      <c r="I13" s="86">
        <v>70</v>
      </c>
      <c r="J13" s="86">
        <v>145</v>
      </c>
      <c r="K13" s="86">
        <v>550</v>
      </c>
      <c r="L13" s="86">
        <v>15</v>
      </c>
      <c r="M13" s="86">
        <v>60</v>
      </c>
      <c r="N13" s="91">
        <f t="shared" si="0"/>
        <v>910</v>
      </c>
      <c r="O13" s="86" t="s">
        <v>169</v>
      </c>
      <c r="P13" s="101">
        <v>1200</v>
      </c>
      <c r="Q13" s="71" t="s">
        <v>219</v>
      </c>
      <c r="R13" s="96">
        <f t="shared" si="1"/>
        <v>2110</v>
      </c>
      <c r="S13" s="105" t="s">
        <v>142</v>
      </c>
      <c r="T13"/>
      <c r="U13"/>
      <c r="V13"/>
      <c r="W13"/>
      <c r="X13"/>
      <c r="Y13"/>
      <c r="Z13"/>
    </row>
    <row r="14" spans="1:26" ht="24" customHeight="1">
      <c r="A14" s="76" t="s">
        <v>242</v>
      </c>
      <c r="B14" s="81" t="s">
        <v>85</v>
      </c>
      <c r="C14" s="81" t="s">
        <v>235</v>
      </c>
      <c r="D14" s="81" t="s">
        <v>17</v>
      </c>
      <c r="E14" s="81" t="s">
        <v>105</v>
      </c>
      <c r="F14" s="81" t="s">
        <v>230</v>
      </c>
      <c r="G14" s="66">
        <v>1</v>
      </c>
      <c r="H14" s="86">
        <v>70</v>
      </c>
      <c r="I14" s="86">
        <v>70</v>
      </c>
      <c r="J14" s="86">
        <v>145</v>
      </c>
      <c r="K14" s="86">
        <v>250</v>
      </c>
      <c r="L14" s="86">
        <v>15</v>
      </c>
      <c r="M14" s="86">
        <v>60</v>
      </c>
      <c r="N14" s="91">
        <f t="shared" si="0"/>
        <v>610</v>
      </c>
      <c r="O14" s="86" t="s">
        <v>169</v>
      </c>
      <c r="P14" s="101">
        <v>1200</v>
      </c>
      <c r="Q14" s="71" t="s">
        <v>219</v>
      </c>
      <c r="R14" s="96">
        <f t="shared" si="1"/>
        <v>1810</v>
      </c>
      <c r="S14" s="105" t="s">
        <v>142</v>
      </c>
      <c r="T14"/>
      <c r="U14"/>
      <c r="V14"/>
      <c r="W14"/>
      <c r="X14"/>
      <c r="Y14"/>
      <c r="Z14"/>
    </row>
    <row r="15" spans="1:26" ht="24" customHeight="1">
      <c r="A15" s="76" t="s">
        <v>243</v>
      </c>
      <c r="B15" s="81" t="s">
        <v>86</v>
      </c>
      <c r="C15" s="81" t="s">
        <v>235</v>
      </c>
      <c r="D15" s="81" t="s">
        <v>17</v>
      </c>
      <c r="E15" s="81" t="s">
        <v>105</v>
      </c>
      <c r="F15" s="81" t="s">
        <v>230</v>
      </c>
      <c r="G15" s="66">
        <v>1</v>
      </c>
      <c r="H15" s="86">
        <v>70</v>
      </c>
      <c r="I15" s="86">
        <v>70</v>
      </c>
      <c r="J15" s="86">
        <v>145</v>
      </c>
      <c r="K15" s="86">
        <v>200</v>
      </c>
      <c r="L15" s="86">
        <v>15</v>
      </c>
      <c r="M15" s="86">
        <v>50</v>
      </c>
      <c r="N15" s="91">
        <f t="shared" si="0"/>
        <v>550</v>
      </c>
      <c r="O15" s="86" t="s">
        <v>169</v>
      </c>
      <c r="P15" s="101">
        <v>1200</v>
      </c>
      <c r="Q15" s="71" t="s">
        <v>219</v>
      </c>
      <c r="R15" s="96">
        <f t="shared" si="1"/>
        <v>1750</v>
      </c>
      <c r="S15" s="105" t="s">
        <v>142</v>
      </c>
      <c r="T15"/>
      <c r="U15"/>
      <c r="V15"/>
      <c r="W15"/>
      <c r="X15"/>
      <c r="Y15"/>
      <c r="Z15"/>
    </row>
    <row r="16" spans="1:26" ht="24" customHeight="1">
      <c r="A16" s="76" t="s">
        <v>244</v>
      </c>
      <c r="B16" s="81" t="s">
        <v>87</v>
      </c>
      <c r="C16" s="81" t="s">
        <v>235</v>
      </c>
      <c r="D16" s="81" t="s">
        <v>17</v>
      </c>
      <c r="E16" s="81" t="s">
        <v>105</v>
      </c>
      <c r="F16" s="81" t="s">
        <v>230</v>
      </c>
      <c r="G16" s="66">
        <v>0.5</v>
      </c>
      <c r="H16" s="86">
        <v>70</v>
      </c>
      <c r="I16" s="86">
        <v>70</v>
      </c>
      <c r="J16" s="86">
        <v>145</v>
      </c>
      <c r="K16" s="86">
        <v>1550</v>
      </c>
      <c r="L16" s="86">
        <v>15</v>
      </c>
      <c r="M16" s="86">
        <v>60</v>
      </c>
      <c r="N16" s="91">
        <f t="shared" si="0"/>
        <v>1910</v>
      </c>
      <c r="O16" s="86" t="s">
        <v>169</v>
      </c>
      <c r="P16" s="101">
        <v>1200</v>
      </c>
      <c r="Q16" s="71" t="s">
        <v>219</v>
      </c>
      <c r="R16" s="96">
        <f t="shared" si="1"/>
        <v>3110</v>
      </c>
      <c r="S16" s="105" t="s">
        <v>142</v>
      </c>
      <c r="T16"/>
      <c r="U16"/>
      <c r="V16"/>
      <c r="W16"/>
      <c r="X16"/>
      <c r="Y16"/>
      <c r="Z16"/>
    </row>
    <row r="17" spans="1:26" ht="24" customHeight="1">
      <c r="A17" s="76" t="s">
        <v>245</v>
      </c>
      <c r="B17" s="81" t="s">
        <v>97</v>
      </c>
      <c r="C17" s="81" t="s">
        <v>233</v>
      </c>
      <c r="D17" s="81" t="s">
        <v>17</v>
      </c>
      <c r="E17" s="81" t="s">
        <v>105</v>
      </c>
      <c r="F17" s="81" t="s">
        <v>230</v>
      </c>
      <c r="G17" s="66">
        <v>0.5</v>
      </c>
      <c r="H17" s="86">
        <v>70</v>
      </c>
      <c r="I17" s="86">
        <v>70</v>
      </c>
      <c r="J17" s="86">
        <v>145</v>
      </c>
      <c r="K17" s="86">
        <v>350</v>
      </c>
      <c r="L17" s="86">
        <v>15</v>
      </c>
      <c r="M17" s="86">
        <v>60</v>
      </c>
      <c r="N17" s="91">
        <f t="shared" si="0"/>
        <v>710</v>
      </c>
      <c r="O17" s="86" t="s">
        <v>169</v>
      </c>
      <c r="P17" s="101">
        <v>1200</v>
      </c>
      <c r="Q17" s="71" t="s">
        <v>219</v>
      </c>
      <c r="R17" s="96">
        <f t="shared" si="1"/>
        <v>1910</v>
      </c>
      <c r="S17" s="105" t="s">
        <v>142</v>
      </c>
      <c r="T17"/>
      <c r="U17"/>
      <c r="V17"/>
      <c r="W17"/>
      <c r="X17"/>
      <c r="Y17"/>
      <c r="Z17"/>
    </row>
    <row r="18" spans="1:26" ht="24" customHeight="1">
      <c r="A18" s="76" t="s">
        <v>246</v>
      </c>
      <c r="B18" s="81" t="s">
        <v>247</v>
      </c>
      <c r="C18" s="81" t="s">
        <v>233</v>
      </c>
      <c r="D18" s="81" t="s">
        <v>44</v>
      </c>
      <c r="E18" s="81" t="s">
        <v>105</v>
      </c>
      <c r="F18" s="81" t="s">
        <v>230</v>
      </c>
      <c r="G18" s="66">
        <v>0.5</v>
      </c>
      <c r="H18" s="86">
        <v>70</v>
      </c>
      <c r="I18" s="86">
        <v>70</v>
      </c>
      <c r="J18" s="86">
        <v>145</v>
      </c>
      <c r="K18" s="86">
        <v>200</v>
      </c>
      <c r="L18" s="86">
        <v>15</v>
      </c>
      <c r="M18" s="86">
        <v>50</v>
      </c>
      <c r="N18" s="91">
        <f t="shared" si="0"/>
        <v>550</v>
      </c>
      <c r="O18" s="86" t="s">
        <v>169</v>
      </c>
      <c r="P18" s="101">
        <v>1350</v>
      </c>
      <c r="Q18" s="71" t="s">
        <v>222</v>
      </c>
      <c r="R18" s="96">
        <f t="shared" si="1"/>
        <v>1900</v>
      </c>
      <c r="S18" s="105" t="s">
        <v>142</v>
      </c>
      <c r="T18"/>
      <c r="U18"/>
      <c r="V18"/>
      <c r="W18"/>
      <c r="X18"/>
      <c r="Y18"/>
      <c r="Z18"/>
    </row>
    <row r="19" spans="1:26" ht="24" customHeight="1">
      <c r="A19" s="76" t="s">
        <v>248</v>
      </c>
      <c r="B19" s="81" t="s">
        <v>98</v>
      </c>
      <c r="C19" s="81" t="s">
        <v>233</v>
      </c>
      <c r="D19" s="81" t="s">
        <v>17</v>
      </c>
      <c r="E19" s="81" t="s">
        <v>105</v>
      </c>
      <c r="F19" s="81" t="s">
        <v>239</v>
      </c>
      <c r="G19" s="66">
        <v>0.5</v>
      </c>
      <c r="H19" s="86">
        <v>70</v>
      </c>
      <c r="I19" s="86">
        <v>70</v>
      </c>
      <c r="J19" s="86">
        <v>145</v>
      </c>
      <c r="K19" s="86">
        <v>50</v>
      </c>
      <c r="L19" s="86">
        <v>15</v>
      </c>
      <c r="M19" s="86">
        <v>60</v>
      </c>
      <c r="N19" s="91">
        <f t="shared" si="0"/>
        <v>410</v>
      </c>
      <c r="O19" s="86" t="s">
        <v>169</v>
      </c>
      <c r="P19" s="101">
        <v>1200</v>
      </c>
      <c r="Q19" s="71" t="s">
        <v>219</v>
      </c>
      <c r="R19" s="96">
        <f t="shared" si="1"/>
        <v>1610</v>
      </c>
      <c r="S19" s="105" t="s">
        <v>142</v>
      </c>
      <c r="T19"/>
      <c r="U19"/>
      <c r="V19"/>
      <c r="W19"/>
      <c r="X19"/>
      <c r="Y19"/>
      <c r="Z19"/>
    </row>
    <row r="20" spans="1:26" ht="24" customHeight="1">
      <c r="A20" s="76" t="s">
        <v>249</v>
      </c>
      <c r="B20" s="81" t="s">
        <v>250</v>
      </c>
      <c r="C20" s="81" t="s">
        <v>235</v>
      </c>
      <c r="D20" s="81" t="s">
        <v>17</v>
      </c>
      <c r="E20" s="81" t="s">
        <v>105</v>
      </c>
      <c r="F20" s="81" t="s">
        <v>230</v>
      </c>
      <c r="G20" s="66">
        <v>0.5</v>
      </c>
      <c r="H20" s="86">
        <v>70</v>
      </c>
      <c r="I20" s="86">
        <v>70</v>
      </c>
      <c r="J20" s="86">
        <v>145</v>
      </c>
      <c r="K20" s="86">
        <v>550</v>
      </c>
      <c r="L20" s="86">
        <v>15</v>
      </c>
      <c r="M20" s="86">
        <v>60</v>
      </c>
      <c r="N20" s="91">
        <f t="shared" si="0"/>
        <v>910</v>
      </c>
      <c r="O20" s="86" t="s">
        <v>169</v>
      </c>
      <c r="P20" s="101">
        <v>1200</v>
      </c>
      <c r="Q20" s="71" t="s">
        <v>219</v>
      </c>
      <c r="R20" s="96">
        <f t="shared" si="1"/>
        <v>2110</v>
      </c>
      <c r="S20" s="105" t="s">
        <v>142</v>
      </c>
      <c r="T20"/>
      <c r="U20"/>
      <c r="V20"/>
      <c r="W20"/>
      <c r="X20"/>
      <c r="Y20"/>
      <c r="Z20"/>
    </row>
    <row r="21" spans="1:26" ht="24" customHeight="1">
      <c r="A21" s="76" t="s">
        <v>251</v>
      </c>
      <c r="B21" s="81" t="s">
        <v>99</v>
      </c>
      <c r="C21" s="81" t="s">
        <v>233</v>
      </c>
      <c r="D21" s="81" t="s">
        <v>17</v>
      </c>
      <c r="E21" s="81" t="s">
        <v>105</v>
      </c>
      <c r="F21" s="81" t="s">
        <v>230</v>
      </c>
      <c r="G21" s="66">
        <v>1</v>
      </c>
      <c r="H21" s="86">
        <v>70</v>
      </c>
      <c r="I21" s="86">
        <v>70</v>
      </c>
      <c r="J21" s="86">
        <v>145</v>
      </c>
      <c r="K21" s="86">
        <v>550</v>
      </c>
      <c r="L21" s="86">
        <v>15</v>
      </c>
      <c r="M21" s="86">
        <v>60</v>
      </c>
      <c r="N21" s="91">
        <f t="shared" si="0"/>
        <v>910</v>
      </c>
      <c r="O21" s="86" t="s">
        <v>169</v>
      </c>
      <c r="P21" s="101">
        <v>1200</v>
      </c>
      <c r="Q21" s="71" t="s">
        <v>219</v>
      </c>
      <c r="R21" s="96">
        <f t="shared" si="1"/>
        <v>2110</v>
      </c>
      <c r="S21" s="105" t="s">
        <v>142</v>
      </c>
      <c r="T21"/>
      <c r="U21"/>
      <c r="V21"/>
      <c r="W21"/>
      <c r="X21"/>
      <c r="Y21"/>
      <c r="Z21"/>
    </row>
    <row r="22" spans="1:26" ht="24" customHeight="1">
      <c r="A22" s="76" t="s">
        <v>252</v>
      </c>
      <c r="B22" s="81" t="s">
        <v>100</v>
      </c>
      <c r="C22" s="81" t="s">
        <v>233</v>
      </c>
      <c r="D22" s="81" t="s">
        <v>17</v>
      </c>
      <c r="E22" s="81" t="s">
        <v>105</v>
      </c>
      <c r="F22" s="81" t="s">
        <v>230</v>
      </c>
      <c r="G22" s="66">
        <v>1</v>
      </c>
      <c r="H22" s="86">
        <v>70</v>
      </c>
      <c r="I22" s="86">
        <v>70</v>
      </c>
      <c r="J22" s="86">
        <v>145</v>
      </c>
      <c r="K22" s="86">
        <v>1500</v>
      </c>
      <c r="L22" s="86">
        <v>15</v>
      </c>
      <c r="M22" s="86">
        <v>60</v>
      </c>
      <c r="N22" s="91">
        <f t="shared" si="0"/>
        <v>1860</v>
      </c>
      <c r="O22" s="86" t="s">
        <v>169</v>
      </c>
      <c r="P22" s="101">
        <v>1200</v>
      </c>
      <c r="Q22" s="71" t="s">
        <v>219</v>
      </c>
      <c r="R22" s="96">
        <f t="shared" si="1"/>
        <v>3060</v>
      </c>
      <c r="S22" s="105" t="s">
        <v>142</v>
      </c>
      <c r="T22"/>
      <c r="U22"/>
      <c r="V22"/>
      <c r="W22"/>
      <c r="X22"/>
      <c r="Y22"/>
      <c r="Z22"/>
    </row>
    <row r="23" spans="1:26" ht="22" customHeight="1">
      <c r="A23" s="243" t="s">
        <v>485</v>
      </c>
      <c r="B23" s="244"/>
      <c r="C23" s="244"/>
      <c r="D23" s="244"/>
      <c r="E23" s="244"/>
      <c r="F23" s="244"/>
      <c r="G23" s="244"/>
      <c r="H23" s="244"/>
      <c r="I23" s="244"/>
      <c r="J23" s="244"/>
      <c r="K23" s="244"/>
      <c r="L23" s="244"/>
      <c r="M23" s="244"/>
      <c r="N23" s="244"/>
      <c r="O23" s="244"/>
      <c r="P23" s="244"/>
      <c r="Q23" s="244"/>
      <c r="R23" s="244"/>
      <c r="S23" s="245"/>
      <c r="T23"/>
      <c r="U23"/>
      <c r="V23"/>
      <c r="W23"/>
      <c r="X23"/>
      <c r="Y23"/>
      <c r="Z23"/>
    </row>
    <row r="24" spans="1:26" ht="24" customHeight="1">
      <c r="A24" s="77" t="s">
        <v>201</v>
      </c>
      <c r="B24" s="82" t="s">
        <v>268</v>
      </c>
      <c r="C24" s="82" t="s">
        <v>371</v>
      </c>
      <c r="D24" s="82" t="s">
        <v>17</v>
      </c>
      <c r="E24" s="82" t="s">
        <v>18</v>
      </c>
      <c r="F24" s="82" t="s">
        <v>199</v>
      </c>
      <c r="G24" s="67">
        <v>1</v>
      </c>
      <c r="H24" s="87">
        <v>70</v>
      </c>
      <c r="I24" s="87">
        <v>70</v>
      </c>
      <c r="J24" s="87">
        <v>140</v>
      </c>
      <c r="K24" s="87">
        <v>400</v>
      </c>
      <c r="L24" s="87">
        <v>10</v>
      </c>
      <c r="M24" s="87">
        <v>70</v>
      </c>
      <c r="N24" s="92">
        <f>SUM(H24:M24)</f>
        <v>760</v>
      </c>
      <c r="O24" s="87">
        <v>2685</v>
      </c>
      <c r="P24" s="101">
        <v>2450</v>
      </c>
      <c r="Q24" s="72" t="s">
        <v>210</v>
      </c>
      <c r="R24" s="97">
        <f>IFERROR(N24+IF(ISNUMBER(O24),O24,0)+IF(ISNUMBER(P24),P24,0),"")</f>
        <v>5895</v>
      </c>
      <c r="S24" s="106" t="s">
        <v>142</v>
      </c>
      <c r="T24"/>
      <c r="U24"/>
      <c r="V24"/>
      <c r="W24"/>
      <c r="X24"/>
      <c r="Y24"/>
      <c r="Z24"/>
    </row>
    <row r="25" spans="1:26" ht="24" customHeight="1">
      <c r="A25" s="77" t="s">
        <v>204</v>
      </c>
      <c r="B25" s="82" t="s">
        <v>271</v>
      </c>
      <c r="C25" s="82" t="s">
        <v>372</v>
      </c>
      <c r="D25" s="82" t="s">
        <v>17</v>
      </c>
      <c r="E25" s="82" t="s">
        <v>23</v>
      </c>
      <c r="F25" s="82" t="s">
        <v>199</v>
      </c>
      <c r="G25" s="67">
        <v>0</v>
      </c>
      <c r="H25" s="87">
        <v>70</v>
      </c>
      <c r="I25" s="87">
        <v>70</v>
      </c>
      <c r="J25" s="87">
        <v>140</v>
      </c>
      <c r="K25" s="87">
        <v>250</v>
      </c>
      <c r="L25" s="87">
        <v>10</v>
      </c>
      <c r="M25" s="87">
        <v>70</v>
      </c>
      <c r="N25" s="92">
        <f>SUM(H25:M25)</f>
        <v>610</v>
      </c>
      <c r="O25" s="87">
        <v>885</v>
      </c>
      <c r="P25" s="101">
        <v>3750</v>
      </c>
      <c r="Q25" s="72" t="s">
        <v>210</v>
      </c>
      <c r="R25" s="97">
        <f>IFERROR(N25+IF(ISNUMBER(O25),O25,0)+IF(ISNUMBER(P25),P25,0),"")</f>
        <v>5245</v>
      </c>
      <c r="S25" s="106" t="s">
        <v>142</v>
      </c>
      <c r="T25"/>
      <c r="U25"/>
      <c r="V25"/>
      <c r="W25"/>
      <c r="X25"/>
      <c r="Y25"/>
      <c r="Z25"/>
    </row>
    <row r="26" spans="1:26" ht="24" customHeight="1">
      <c r="A26" s="77" t="s">
        <v>205</v>
      </c>
      <c r="B26" s="82" t="s">
        <v>373</v>
      </c>
      <c r="C26" s="82" t="s">
        <v>374</v>
      </c>
      <c r="D26" s="82" t="s">
        <v>26</v>
      </c>
      <c r="E26" s="82" t="s">
        <v>27</v>
      </c>
      <c r="F26" s="82" t="s">
        <v>194</v>
      </c>
      <c r="G26" s="67">
        <v>1</v>
      </c>
      <c r="H26" s="87">
        <v>70</v>
      </c>
      <c r="I26" s="87">
        <v>70</v>
      </c>
      <c r="J26" s="87">
        <v>140</v>
      </c>
      <c r="K26" s="87">
        <v>300</v>
      </c>
      <c r="L26" s="87">
        <v>30</v>
      </c>
      <c r="M26" s="87">
        <v>70</v>
      </c>
      <c r="N26" s="92">
        <f>SUM(H26:M26)</f>
        <v>680</v>
      </c>
      <c r="O26" s="87">
        <v>2785</v>
      </c>
      <c r="P26" s="101">
        <v>2500</v>
      </c>
      <c r="Q26" s="72" t="s">
        <v>151</v>
      </c>
      <c r="R26" s="97">
        <f>IFERROR(N26+IF(ISNUMBER(O26),O26,0)+IF(ISNUMBER(P26),P26,0),"")</f>
        <v>5965</v>
      </c>
      <c r="S26" s="106" t="s">
        <v>141</v>
      </c>
      <c r="T26"/>
      <c r="U26"/>
      <c r="V26"/>
      <c r="W26"/>
      <c r="X26"/>
      <c r="Y26"/>
      <c r="Z26"/>
    </row>
    <row r="27" spans="1:26" ht="24" customHeight="1">
      <c r="A27" s="77" t="s">
        <v>207</v>
      </c>
      <c r="B27" s="82" t="s">
        <v>283</v>
      </c>
      <c r="C27" s="82" t="s">
        <v>374</v>
      </c>
      <c r="D27" s="82" t="s">
        <v>29</v>
      </c>
      <c r="E27" s="82" t="s">
        <v>27</v>
      </c>
      <c r="F27" s="82" t="s">
        <v>194</v>
      </c>
      <c r="G27" s="67">
        <v>0.5</v>
      </c>
      <c r="H27" s="87">
        <v>70</v>
      </c>
      <c r="I27" s="87">
        <v>80</v>
      </c>
      <c r="J27" s="87">
        <v>160</v>
      </c>
      <c r="K27" s="87">
        <v>1000</v>
      </c>
      <c r="L27" s="87">
        <v>50</v>
      </c>
      <c r="M27" s="87">
        <v>75</v>
      </c>
      <c r="N27" s="92">
        <f>SUM(H27:M27)</f>
        <v>1435</v>
      </c>
      <c r="O27" s="87">
        <v>2785</v>
      </c>
      <c r="P27" s="101">
        <v>1950</v>
      </c>
      <c r="Q27" s="72" t="s">
        <v>208</v>
      </c>
      <c r="R27" s="97">
        <f>IFERROR(N27+IF(ISNUMBER(O27),O27,0)+IF(ISNUMBER(P27),P27,0),"")</f>
        <v>6170</v>
      </c>
      <c r="S27" s="106" t="s">
        <v>141</v>
      </c>
      <c r="T27"/>
      <c r="U27"/>
      <c r="V27"/>
      <c r="W27"/>
      <c r="X27"/>
      <c r="Y27"/>
      <c r="Z27"/>
    </row>
    <row r="28" spans="1:26" ht="24" customHeight="1">
      <c r="A28" s="77" t="s">
        <v>209</v>
      </c>
      <c r="B28" s="82" t="s">
        <v>268</v>
      </c>
      <c r="C28" s="82" t="s">
        <v>374</v>
      </c>
      <c r="D28" s="82" t="s">
        <v>17</v>
      </c>
      <c r="E28" s="82" t="s">
        <v>27</v>
      </c>
      <c r="F28" s="82" t="s">
        <v>194</v>
      </c>
      <c r="G28" s="67">
        <v>1</v>
      </c>
      <c r="H28" s="87">
        <v>70</v>
      </c>
      <c r="I28" s="87">
        <v>70</v>
      </c>
      <c r="J28" s="87">
        <v>140</v>
      </c>
      <c r="K28" s="87">
        <v>400</v>
      </c>
      <c r="L28" s="87">
        <v>10</v>
      </c>
      <c r="M28" s="87">
        <v>70</v>
      </c>
      <c r="N28" s="92">
        <f>SUM(H28:M28)</f>
        <v>760</v>
      </c>
      <c r="O28" s="87">
        <v>2785</v>
      </c>
      <c r="P28" s="101">
        <v>2200</v>
      </c>
      <c r="Q28" s="72" t="s">
        <v>210</v>
      </c>
      <c r="R28" s="97">
        <f>IFERROR(N28+IF(ISNUMBER(O28),O28,0)+IF(ISNUMBER(P28),P28,0),"")</f>
        <v>5745</v>
      </c>
      <c r="S28" s="106" t="s">
        <v>141</v>
      </c>
      <c r="T28"/>
      <c r="U28"/>
      <c r="V28"/>
      <c r="W28"/>
      <c r="X28"/>
      <c r="Y28"/>
      <c r="Z28"/>
    </row>
    <row r="29" spans="1:26" ht="22" customHeight="1">
      <c r="A29" s="246" t="s">
        <v>486</v>
      </c>
      <c r="B29" s="247"/>
      <c r="C29" s="247"/>
      <c r="D29" s="247"/>
      <c r="E29" s="247"/>
      <c r="F29" s="247"/>
      <c r="G29" s="247"/>
      <c r="H29" s="247"/>
      <c r="I29" s="247"/>
      <c r="J29" s="247"/>
      <c r="K29" s="247"/>
      <c r="L29" s="247"/>
      <c r="M29" s="247"/>
      <c r="N29" s="247"/>
      <c r="O29" s="247"/>
      <c r="P29" s="247"/>
      <c r="Q29" s="247"/>
      <c r="R29" s="247"/>
      <c r="S29" s="248"/>
      <c r="T29"/>
      <c r="U29"/>
      <c r="V29"/>
      <c r="W29"/>
      <c r="X29"/>
      <c r="Y29"/>
      <c r="Z29"/>
    </row>
    <row r="30" spans="1:26" ht="24" customHeight="1">
      <c r="A30" s="162" t="s">
        <v>225</v>
      </c>
      <c r="B30" s="163" t="s">
        <v>375</v>
      </c>
      <c r="C30" s="163" t="s">
        <v>268</v>
      </c>
      <c r="D30" s="163" t="s">
        <v>56</v>
      </c>
      <c r="E30" s="163" t="s">
        <v>17</v>
      </c>
      <c r="F30" s="163" t="s">
        <v>199</v>
      </c>
      <c r="G30" s="164">
        <v>1</v>
      </c>
      <c r="H30" s="165">
        <v>70</v>
      </c>
      <c r="I30" s="165">
        <v>50</v>
      </c>
      <c r="J30" s="165">
        <v>260</v>
      </c>
      <c r="K30" s="165">
        <v>325</v>
      </c>
      <c r="L30" s="165">
        <v>90</v>
      </c>
      <c r="M30" s="165">
        <v>80</v>
      </c>
      <c r="N30" s="166">
        <f>SUM(H30:M30)</f>
        <v>875</v>
      </c>
      <c r="O30" s="165">
        <v>600</v>
      </c>
      <c r="P30" s="101">
        <v>1</v>
      </c>
      <c r="Q30" s="167" t="s">
        <v>155</v>
      </c>
      <c r="R30" s="168">
        <f>IFERROR(N30+IF(ISNUMBER(O30),O30,0)+IF(ISNUMBER(P30),P30,0),"")</f>
        <v>1476</v>
      </c>
      <c r="S30" s="169" t="s">
        <v>131</v>
      </c>
      <c r="T30"/>
      <c r="U30"/>
      <c r="V30"/>
      <c r="W30"/>
      <c r="X30"/>
      <c r="Y30"/>
      <c r="Z30"/>
    </row>
    <row r="31" spans="1:26" ht="24" customHeight="1">
      <c r="A31" s="162" t="s">
        <v>226</v>
      </c>
      <c r="B31" s="163" t="s">
        <v>376</v>
      </c>
      <c r="C31" s="163" t="s">
        <v>268</v>
      </c>
      <c r="D31" s="163" t="s">
        <v>227</v>
      </c>
      <c r="E31" s="163" t="s">
        <v>17</v>
      </c>
      <c r="F31" s="163" t="s">
        <v>199</v>
      </c>
      <c r="G31" s="164">
        <v>1</v>
      </c>
      <c r="H31" s="165">
        <v>50</v>
      </c>
      <c r="I31" s="165">
        <v>35</v>
      </c>
      <c r="J31" s="165">
        <v>125</v>
      </c>
      <c r="K31" s="165">
        <v>280</v>
      </c>
      <c r="L31" s="165">
        <v>150</v>
      </c>
      <c r="M31" s="165">
        <v>50</v>
      </c>
      <c r="N31" s="166">
        <f>SUM(H31:M31)</f>
        <v>690</v>
      </c>
      <c r="O31" s="165">
        <v>600</v>
      </c>
      <c r="P31" s="101">
        <v>1</v>
      </c>
      <c r="Q31" s="167" t="s">
        <v>156</v>
      </c>
      <c r="R31" s="168">
        <f>IFERROR(N31+IF(ISNUMBER(O31),O31,0)+IF(ISNUMBER(P31),P31,0),"")</f>
        <v>1291</v>
      </c>
      <c r="S31" s="169" t="s">
        <v>131</v>
      </c>
      <c r="T31"/>
      <c r="U31"/>
      <c r="V31"/>
      <c r="W31"/>
      <c r="X31"/>
      <c r="Y31"/>
      <c r="Z31"/>
    </row>
    <row r="32" spans="1:26" ht="22" customHeight="1">
      <c r="A32" s="249" t="s">
        <v>487</v>
      </c>
      <c r="B32" s="250"/>
      <c r="C32" s="250"/>
      <c r="D32" s="250"/>
      <c r="E32" s="250"/>
      <c r="F32" s="250"/>
      <c r="G32" s="250"/>
      <c r="H32" s="250"/>
      <c r="I32" s="250"/>
      <c r="J32" s="250"/>
      <c r="K32" s="250"/>
      <c r="L32" s="250"/>
      <c r="M32" s="250"/>
      <c r="N32" s="250"/>
      <c r="O32" s="250"/>
      <c r="P32" s="250"/>
      <c r="Q32" s="250"/>
      <c r="R32" s="250"/>
      <c r="S32" s="251"/>
      <c r="T32"/>
      <c r="U32"/>
      <c r="V32"/>
      <c r="W32"/>
      <c r="X32"/>
      <c r="Y32"/>
      <c r="Z32"/>
    </row>
    <row r="33" spans="1:26" ht="24" customHeight="1">
      <c r="A33" s="78" t="s">
        <v>216</v>
      </c>
      <c r="B33" s="83" t="s">
        <v>271</v>
      </c>
      <c r="C33" s="83" t="s">
        <v>377</v>
      </c>
      <c r="D33" s="83" t="s">
        <v>17</v>
      </c>
      <c r="E33" s="83" t="s">
        <v>39</v>
      </c>
      <c r="F33" s="83" t="s">
        <v>199</v>
      </c>
      <c r="G33" s="68">
        <v>0.5</v>
      </c>
      <c r="H33" s="88">
        <v>70</v>
      </c>
      <c r="I33" s="88">
        <v>70</v>
      </c>
      <c r="J33" s="88">
        <v>140</v>
      </c>
      <c r="K33" s="88">
        <v>250</v>
      </c>
      <c r="L33" s="88">
        <v>10</v>
      </c>
      <c r="M33" s="88">
        <v>70</v>
      </c>
      <c r="N33" s="93">
        <f>SUM(H33:M33)</f>
        <v>610</v>
      </c>
      <c r="O33" s="88">
        <v>800</v>
      </c>
      <c r="P33" s="101">
        <v>750</v>
      </c>
      <c r="Q33" s="73" t="s">
        <v>155</v>
      </c>
      <c r="R33" s="98">
        <f>IFERROR(N33+IF(ISNUMBER(O33),O33,0)+IF(ISNUMBER(P33),P33,0),"")</f>
        <v>2160</v>
      </c>
      <c r="S33" s="107" t="s">
        <v>368</v>
      </c>
      <c r="T33"/>
      <c r="U33"/>
      <c r="V33"/>
      <c r="W33"/>
      <c r="X33"/>
      <c r="Y33"/>
      <c r="Z33"/>
    </row>
    <row r="34" spans="1:26" ht="24" customHeight="1">
      <c r="A34" s="78" t="s">
        <v>273</v>
      </c>
      <c r="B34" s="83" t="s">
        <v>378</v>
      </c>
      <c r="C34" s="83" t="s">
        <v>379</v>
      </c>
      <c r="D34" s="83" t="s">
        <v>17</v>
      </c>
      <c r="E34" s="83" t="s">
        <v>39</v>
      </c>
      <c r="F34" s="83" t="s">
        <v>199</v>
      </c>
      <c r="G34" s="68">
        <v>1</v>
      </c>
      <c r="H34" s="88">
        <v>70</v>
      </c>
      <c r="I34" s="88">
        <v>70</v>
      </c>
      <c r="J34" s="88">
        <v>140</v>
      </c>
      <c r="K34" s="88">
        <v>250</v>
      </c>
      <c r="L34" s="88">
        <v>10</v>
      </c>
      <c r="M34" s="88">
        <v>70</v>
      </c>
      <c r="N34" s="93">
        <f>SUM(H34:M34)</f>
        <v>610</v>
      </c>
      <c r="O34" s="88">
        <v>800</v>
      </c>
      <c r="P34" s="101">
        <v>750</v>
      </c>
      <c r="Q34" s="73" t="s">
        <v>155</v>
      </c>
      <c r="R34" s="98">
        <f>IFERROR(N34+IF(ISNUMBER(O34),O34,0)+IF(ISNUMBER(P34),P34,0),"")</f>
        <v>2160</v>
      </c>
      <c r="S34" s="107" t="s">
        <v>368</v>
      </c>
      <c r="T34"/>
      <c r="U34"/>
      <c r="V34"/>
      <c r="W34"/>
      <c r="X34"/>
      <c r="Y34"/>
      <c r="Z34"/>
    </row>
    <row r="35" spans="1:26" ht="24" customHeight="1">
      <c r="A35" s="78" t="s">
        <v>218</v>
      </c>
      <c r="B35" s="83" t="s">
        <v>276</v>
      </c>
      <c r="C35" s="83" t="s">
        <v>377</v>
      </c>
      <c r="D35" s="83" t="s">
        <v>44</v>
      </c>
      <c r="E35" s="83" t="s">
        <v>39</v>
      </c>
      <c r="F35" s="83" t="s">
        <v>199</v>
      </c>
      <c r="G35" s="68">
        <v>0.5</v>
      </c>
      <c r="H35" s="88">
        <v>70</v>
      </c>
      <c r="I35" s="88">
        <v>70</v>
      </c>
      <c r="J35" s="88">
        <v>140</v>
      </c>
      <c r="K35" s="88">
        <v>420</v>
      </c>
      <c r="L35" s="88">
        <v>30</v>
      </c>
      <c r="M35" s="88">
        <v>70</v>
      </c>
      <c r="N35" s="93">
        <f>SUM(H35:M35)</f>
        <v>800</v>
      </c>
      <c r="O35" s="88">
        <v>800</v>
      </c>
      <c r="P35" s="101">
        <v>1150</v>
      </c>
      <c r="Q35" s="73" t="s">
        <v>219</v>
      </c>
      <c r="R35" s="98">
        <f>IFERROR(N35+IF(ISNUMBER(O35),O35,0)+IF(ISNUMBER(P35),P35,0),"")</f>
        <v>2750</v>
      </c>
      <c r="S35" s="107" t="s">
        <v>142</v>
      </c>
      <c r="T35"/>
      <c r="U35"/>
      <c r="V35"/>
      <c r="W35"/>
      <c r="X35"/>
      <c r="Y35"/>
      <c r="Z35"/>
    </row>
    <row r="36" spans="1:26" ht="24" customHeight="1">
      <c r="A36" s="78" t="s">
        <v>220</v>
      </c>
      <c r="B36" s="83" t="s">
        <v>278</v>
      </c>
      <c r="C36" s="83" t="s">
        <v>379</v>
      </c>
      <c r="D36" s="83" t="s">
        <v>46</v>
      </c>
      <c r="E36" s="83" t="s">
        <v>39</v>
      </c>
      <c r="F36" s="83" t="s">
        <v>199</v>
      </c>
      <c r="G36" s="68">
        <v>0.5</v>
      </c>
      <c r="H36" s="88">
        <v>70</v>
      </c>
      <c r="I36" s="88">
        <v>70</v>
      </c>
      <c r="J36" s="88">
        <v>140</v>
      </c>
      <c r="K36" s="88">
        <v>420</v>
      </c>
      <c r="L36" s="88">
        <v>30</v>
      </c>
      <c r="M36" s="88">
        <v>70</v>
      </c>
      <c r="N36" s="93">
        <f>SUM(H36:M36)</f>
        <v>800</v>
      </c>
      <c r="O36" s="88">
        <v>800</v>
      </c>
      <c r="P36" s="101">
        <v>1000</v>
      </c>
      <c r="Q36" s="73" t="s">
        <v>222</v>
      </c>
      <c r="R36" s="98">
        <f>IFERROR(N36+IF(ISNUMBER(O36),O36,0)+IF(ISNUMBER(P36),P36,0),"")</f>
        <v>2600</v>
      </c>
      <c r="S36" s="107" t="s">
        <v>140</v>
      </c>
      <c r="T36"/>
      <c r="U36"/>
      <c r="V36"/>
      <c r="W36"/>
      <c r="X36"/>
      <c r="Y36"/>
      <c r="Z36"/>
    </row>
    <row r="37" spans="1:26" ht="24" customHeight="1">
      <c r="A37" s="78" t="s">
        <v>223</v>
      </c>
      <c r="B37" s="83" t="s">
        <v>379</v>
      </c>
      <c r="C37" s="83" t="s">
        <v>380</v>
      </c>
      <c r="D37" s="83" t="s">
        <v>39</v>
      </c>
      <c r="E37" s="83" t="s">
        <v>79</v>
      </c>
      <c r="F37" s="83" t="s">
        <v>224</v>
      </c>
      <c r="G37" s="68">
        <v>2</v>
      </c>
      <c r="H37" s="88">
        <v>70</v>
      </c>
      <c r="I37" s="88">
        <v>70</v>
      </c>
      <c r="J37" s="88">
        <v>140</v>
      </c>
      <c r="K37" s="88">
        <v>300</v>
      </c>
      <c r="L37" s="88">
        <v>30</v>
      </c>
      <c r="M37" s="88">
        <v>70</v>
      </c>
      <c r="N37" s="93">
        <f>SUM(H37:M37)</f>
        <v>680</v>
      </c>
      <c r="O37" s="88">
        <v>2200</v>
      </c>
      <c r="P37" s="101">
        <v>3800</v>
      </c>
      <c r="Q37" s="73" t="s">
        <v>154</v>
      </c>
      <c r="R37" s="98">
        <f>IFERROR(N37+IF(ISNUMBER(O37),O37,0)+IF(ISNUMBER(P37),P37,0),"")</f>
        <v>6680</v>
      </c>
      <c r="S37" s="107" t="s">
        <v>142</v>
      </c>
      <c r="T37"/>
      <c r="U37"/>
      <c r="V37"/>
      <c r="W37"/>
      <c r="X37"/>
      <c r="Y37"/>
      <c r="Z37"/>
    </row>
    <row r="38" spans="1:26" ht="22" customHeight="1">
      <c r="A38" s="234" t="s">
        <v>488</v>
      </c>
      <c r="B38" s="235"/>
      <c r="C38" s="235"/>
      <c r="D38" s="235"/>
      <c r="E38" s="235"/>
      <c r="F38" s="235"/>
      <c r="G38" s="235"/>
      <c r="H38" s="235"/>
      <c r="I38" s="235"/>
      <c r="J38" s="235"/>
      <c r="K38" s="235"/>
      <c r="L38" s="235"/>
      <c r="M38" s="235"/>
      <c r="N38" s="235"/>
      <c r="O38" s="235"/>
      <c r="P38" s="235"/>
      <c r="Q38" s="235"/>
      <c r="R38" s="235"/>
      <c r="S38" s="236"/>
      <c r="T38"/>
      <c r="U38"/>
      <c r="V38"/>
      <c r="W38"/>
      <c r="X38"/>
      <c r="Y38"/>
      <c r="Z38"/>
    </row>
    <row r="39" spans="1:26" ht="24" customHeight="1">
      <c r="A39" s="79" t="s">
        <v>211</v>
      </c>
      <c r="B39" s="84" t="s">
        <v>268</v>
      </c>
      <c r="C39" s="84" t="s">
        <v>380</v>
      </c>
      <c r="D39" s="84" t="s">
        <v>17</v>
      </c>
      <c r="E39" s="84" t="s">
        <v>79</v>
      </c>
      <c r="F39" s="84" t="s">
        <v>199</v>
      </c>
      <c r="G39" s="69">
        <v>0.5</v>
      </c>
      <c r="H39" s="89">
        <v>70</v>
      </c>
      <c r="I39" s="89">
        <v>70</v>
      </c>
      <c r="J39" s="89">
        <v>140</v>
      </c>
      <c r="K39" s="89">
        <v>400</v>
      </c>
      <c r="L39" s="89">
        <v>10</v>
      </c>
      <c r="M39" s="89">
        <v>70</v>
      </c>
      <c r="N39" s="94">
        <f>SUM(H39:M39)</f>
        <v>760</v>
      </c>
      <c r="O39" s="89">
        <v>2200</v>
      </c>
      <c r="P39" s="101">
        <v>2750</v>
      </c>
      <c r="Q39" s="74" t="s">
        <v>153</v>
      </c>
      <c r="R39" s="99">
        <f>IFERROR(N39+IF(ISNUMBER(O39),O39,0)+IF(ISNUMBER(P39),P39,0),"")</f>
        <v>5710</v>
      </c>
      <c r="S39" s="108" t="s">
        <v>140</v>
      </c>
      <c r="T39"/>
      <c r="U39"/>
      <c r="V39"/>
      <c r="W39"/>
      <c r="X39"/>
      <c r="Y39"/>
      <c r="Z39"/>
    </row>
    <row r="40" spans="1:26" ht="24" customHeight="1">
      <c r="A40" s="79" t="s">
        <v>214</v>
      </c>
      <c r="B40" s="84" t="s">
        <v>381</v>
      </c>
      <c r="C40" s="84" t="s">
        <v>380</v>
      </c>
      <c r="D40" s="84" t="s">
        <v>29</v>
      </c>
      <c r="E40" s="84" t="s">
        <v>79</v>
      </c>
      <c r="F40" s="84" t="s">
        <v>199</v>
      </c>
      <c r="G40" s="69">
        <v>1</v>
      </c>
      <c r="H40" s="89">
        <v>70</v>
      </c>
      <c r="I40" s="89">
        <v>70</v>
      </c>
      <c r="J40" s="89">
        <v>140</v>
      </c>
      <c r="K40" s="89">
        <v>300</v>
      </c>
      <c r="L40" s="89">
        <v>250</v>
      </c>
      <c r="M40" s="89">
        <v>70</v>
      </c>
      <c r="N40" s="94">
        <f>SUM(H40:M40)</f>
        <v>900</v>
      </c>
      <c r="O40" s="89">
        <v>2200</v>
      </c>
      <c r="P40" s="101">
        <v>2500</v>
      </c>
      <c r="Q40" s="74" t="s">
        <v>151</v>
      </c>
      <c r="R40" s="99">
        <f>IFERROR(N40+IF(ISNUMBER(O40),O40,0)+IF(ISNUMBER(P40),P40,0),"")</f>
        <v>5600</v>
      </c>
      <c r="S40" s="108" t="s">
        <v>140</v>
      </c>
      <c r="T40"/>
      <c r="U40"/>
      <c r="V40"/>
      <c r="W40"/>
      <c r="X40"/>
      <c r="Y40"/>
      <c r="Z40"/>
    </row>
    <row r="41" spans="1:26" ht="24" customHeight="1" thickBot="1">
      <c r="A41" s="80" t="s">
        <v>215</v>
      </c>
      <c r="B41" s="85" t="s">
        <v>74</v>
      </c>
      <c r="C41" s="85" t="s">
        <v>380</v>
      </c>
      <c r="D41" s="85" t="s">
        <v>56</v>
      </c>
      <c r="E41" s="85" t="s">
        <v>79</v>
      </c>
      <c r="F41" s="85" t="s">
        <v>199</v>
      </c>
      <c r="G41" s="70">
        <v>0.5</v>
      </c>
      <c r="H41" s="90">
        <v>70</v>
      </c>
      <c r="I41" s="90">
        <v>70</v>
      </c>
      <c r="J41" s="90">
        <v>140</v>
      </c>
      <c r="K41" s="90">
        <v>300</v>
      </c>
      <c r="L41" s="90">
        <v>250</v>
      </c>
      <c r="M41" s="90">
        <v>70</v>
      </c>
      <c r="N41" s="95">
        <f>SUM(H41:M41)</f>
        <v>900</v>
      </c>
      <c r="O41" s="90">
        <v>2200</v>
      </c>
      <c r="P41" s="102">
        <v>3800</v>
      </c>
      <c r="Q41" s="75" t="s">
        <v>154</v>
      </c>
      <c r="R41" s="100">
        <f>IFERROR(N41+IF(ISNUMBER(O41),O41,0)+IF(ISNUMBER(P41),P41,0),"")</f>
        <v>6900</v>
      </c>
      <c r="S41" s="109" t="s">
        <v>142</v>
      </c>
      <c r="T41"/>
      <c r="U41"/>
      <c r="V41"/>
      <c r="W41"/>
      <c r="X41"/>
      <c r="Y41"/>
      <c r="Z41"/>
    </row>
    <row r="42" spans="1:26">
      <c r="A42"/>
      <c r="B42"/>
      <c r="C42"/>
      <c r="D42"/>
      <c r="E42"/>
      <c r="F42"/>
      <c r="G42"/>
      <c r="H42"/>
      <c r="I42"/>
      <c r="J42"/>
      <c r="K42"/>
      <c r="L42"/>
      <c r="M42"/>
      <c r="N42"/>
      <c r="O42"/>
      <c r="P42"/>
      <c r="Q42"/>
      <c r="R42"/>
      <c r="S42"/>
      <c r="T42"/>
      <c r="U42"/>
      <c r="V42"/>
      <c r="W42"/>
      <c r="X42"/>
      <c r="Y42"/>
      <c r="Z42"/>
    </row>
    <row r="43" spans="1:26">
      <c r="A43"/>
      <c r="B43"/>
      <c r="C43"/>
      <c r="D43"/>
      <c r="E43"/>
      <c r="F43"/>
      <c r="G43"/>
      <c r="H43"/>
      <c r="I43"/>
      <c r="J43"/>
      <c r="K43"/>
      <c r="L43"/>
      <c r="M43"/>
      <c r="N43"/>
      <c r="O43"/>
      <c r="P43"/>
      <c r="Q43"/>
      <c r="R43"/>
      <c r="S43"/>
      <c r="T43"/>
      <c r="U43"/>
      <c r="V43"/>
      <c r="W43"/>
      <c r="X43"/>
      <c r="Y43"/>
      <c r="Z43"/>
    </row>
    <row r="44" spans="1:26">
      <c r="A44"/>
      <c r="B44"/>
      <c r="C44"/>
      <c r="D44"/>
      <c r="E44"/>
      <c r="F44"/>
      <c r="G44"/>
      <c r="H44"/>
      <c r="I44"/>
      <c r="J44"/>
      <c r="K44"/>
      <c r="L44"/>
      <c r="M44"/>
      <c r="N44"/>
      <c r="O44"/>
      <c r="P44"/>
      <c r="Q44"/>
      <c r="R44"/>
      <c r="S44"/>
      <c r="T44"/>
      <c r="U44"/>
      <c r="V44"/>
      <c r="W44"/>
      <c r="X44"/>
      <c r="Y44"/>
      <c r="Z44"/>
    </row>
    <row r="45" spans="1:26">
      <c r="A45"/>
      <c r="B45"/>
      <c r="C45"/>
      <c r="D45"/>
      <c r="E45"/>
      <c r="F45"/>
      <c r="G45"/>
      <c r="H45"/>
      <c r="I45"/>
      <c r="J45"/>
      <c r="K45"/>
      <c r="L45"/>
      <c r="M45"/>
      <c r="N45"/>
      <c r="O45"/>
      <c r="P45"/>
      <c r="Q45"/>
      <c r="R45"/>
      <c r="S45"/>
      <c r="T45"/>
      <c r="U45"/>
      <c r="V45"/>
      <c r="W45"/>
      <c r="X45"/>
      <c r="Y45"/>
      <c r="Z45"/>
    </row>
    <row r="46" spans="1:26">
      <c r="A46"/>
      <c r="B46"/>
      <c r="C46"/>
      <c r="D46"/>
      <c r="E46"/>
      <c r="F46"/>
      <c r="G46"/>
      <c r="H46"/>
      <c r="I46"/>
      <c r="J46"/>
      <c r="K46"/>
      <c r="L46"/>
      <c r="M46"/>
      <c r="N46"/>
      <c r="O46"/>
      <c r="P46"/>
      <c r="Q46"/>
      <c r="R46"/>
      <c r="S46"/>
      <c r="T46"/>
      <c r="U46"/>
      <c r="V46"/>
      <c r="W46"/>
      <c r="X46"/>
      <c r="Y46"/>
      <c r="Z46"/>
    </row>
    <row r="47" spans="1:26">
      <c r="A47"/>
      <c r="B47"/>
      <c r="C47"/>
      <c r="D47"/>
      <c r="E47"/>
      <c r="F47"/>
      <c r="G47"/>
      <c r="H47"/>
      <c r="I47"/>
      <c r="J47"/>
      <c r="K47"/>
      <c r="L47"/>
      <c r="M47"/>
      <c r="N47"/>
      <c r="O47"/>
      <c r="P47"/>
      <c r="Q47"/>
      <c r="R47"/>
      <c r="S47"/>
      <c r="T47"/>
      <c r="U47"/>
      <c r="V47"/>
      <c r="W47"/>
      <c r="X47"/>
      <c r="Y47"/>
      <c r="Z47"/>
    </row>
    <row r="48" spans="1:26">
      <c r="A48"/>
      <c r="B48"/>
      <c r="C48"/>
      <c r="D48"/>
      <c r="E48"/>
      <c r="F48"/>
      <c r="G48"/>
      <c r="H48"/>
      <c r="I48"/>
      <c r="J48"/>
      <c r="K48"/>
      <c r="L48"/>
      <c r="M48"/>
      <c r="N48"/>
      <c r="O48"/>
      <c r="P48"/>
      <c r="Q48"/>
      <c r="R48"/>
      <c r="S48"/>
      <c r="T48"/>
      <c r="U48"/>
      <c r="V48"/>
      <c r="W48"/>
      <c r="X48"/>
      <c r="Y48"/>
      <c r="Z48"/>
    </row>
    <row r="49" spans="1:26">
      <c r="A49"/>
      <c r="B49"/>
      <c r="C49"/>
      <c r="D49"/>
      <c r="E49"/>
      <c r="F49"/>
      <c r="G49"/>
      <c r="H49"/>
      <c r="I49"/>
      <c r="J49"/>
      <c r="K49"/>
      <c r="L49"/>
      <c r="M49"/>
      <c r="N49"/>
      <c r="O49"/>
      <c r="P49"/>
      <c r="Q49"/>
      <c r="R49"/>
      <c r="S49"/>
      <c r="T49"/>
      <c r="U49"/>
      <c r="V49"/>
      <c r="W49"/>
      <c r="X49"/>
      <c r="Y49"/>
      <c r="Z49"/>
    </row>
    <row r="50" spans="1:26">
      <c r="A50"/>
      <c r="B50"/>
      <c r="C50"/>
      <c r="D50"/>
      <c r="E50"/>
      <c r="F50"/>
      <c r="G50"/>
      <c r="H50"/>
      <c r="I50"/>
      <c r="J50"/>
      <c r="K50"/>
      <c r="L50"/>
      <c r="M50"/>
      <c r="N50"/>
      <c r="O50"/>
      <c r="P50"/>
      <c r="Q50"/>
      <c r="R50"/>
      <c r="S50"/>
      <c r="T50"/>
      <c r="U50"/>
      <c r="V50"/>
      <c r="W50"/>
      <c r="X50"/>
      <c r="Y50"/>
      <c r="Z50"/>
    </row>
  </sheetData>
  <protectedRanges>
    <protectedRange sqref="R16:R17" name="区域1_1_2_2_1"/>
  </protectedRanges>
  <mergeCells count="6">
    <mergeCell ref="A38:S38"/>
    <mergeCell ref="A2:S2"/>
    <mergeCell ref="A5:S5"/>
    <mergeCell ref="A23:S23"/>
    <mergeCell ref="A29:S29"/>
    <mergeCell ref="A32:S32"/>
  </mergeCells>
  <phoneticPr fontId="2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096B5-ABD7-4AFE-8DBD-23DB74E72685}">
  <dimension ref="A1:Z60"/>
  <sheetViews>
    <sheetView zoomScale="90" zoomScaleNormal="90" workbookViewId="0">
      <pane ySplit="1" topLeftCell="A12" activePane="bottomLeft" state="frozen"/>
      <selection activeCell="C1" sqref="C1"/>
      <selection pane="bottomLeft" activeCell="D12" sqref="D12"/>
    </sheetView>
  </sheetViews>
  <sheetFormatPr baseColWidth="10" defaultColWidth="9" defaultRowHeight="15"/>
  <cols>
    <col min="1" max="1" width="21.6640625" style="32" customWidth="1"/>
    <col min="2" max="2" width="26.6640625" style="32" customWidth="1"/>
    <col min="3" max="3" width="26.6640625" style="39" customWidth="1"/>
    <col min="4" max="4" width="11.6640625" style="38" customWidth="1"/>
    <col min="5" max="5" width="11.6640625" style="37" customWidth="1"/>
    <col min="6" max="6" width="10" style="37" customWidth="1"/>
    <col min="7" max="7" width="10.83203125" style="37" customWidth="1"/>
    <col min="8" max="8" width="9.1640625" style="37" customWidth="1"/>
    <col min="9" max="9" width="8.33203125" style="37" customWidth="1"/>
    <col min="10" max="10" width="9.1640625" style="37" customWidth="1"/>
    <col min="11" max="12" width="10" style="37" customWidth="1"/>
    <col min="13" max="13" width="8.33203125" style="37" customWidth="1"/>
    <col min="14" max="14" width="12.5" style="37" customWidth="1"/>
    <col min="15" max="15" width="10.83203125" style="37" customWidth="1"/>
    <col min="16" max="16" width="11.6640625" style="37" customWidth="1"/>
    <col min="17" max="18" width="13.33203125" style="37" customWidth="1"/>
    <col min="19" max="19" width="14.1640625" style="34" customWidth="1"/>
    <col min="20" max="20" width="11.1640625" style="33" customWidth="1"/>
    <col min="21" max="16384" width="9" style="32"/>
  </cols>
  <sheetData>
    <row r="1" spans="1:26" ht="20" customHeight="1" thickBot="1">
      <c r="A1" s="176" t="s">
        <v>253</v>
      </c>
      <c r="B1" s="177" t="s">
        <v>1</v>
      </c>
      <c r="C1" s="177" t="s">
        <v>2</v>
      </c>
      <c r="D1" s="177" t="s">
        <v>254</v>
      </c>
      <c r="E1" s="177" t="s">
        <v>255</v>
      </c>
      <c r="F1" s="177" t="s">
        <v>190</v>
      </c>
      <c r="G1" s="177" t="s">
        <v>191</v>
      </c>
      <c r="H1" s="177" t="s">
        <v>256</v>
      </c>
      <c r="I1" s="177" t="s">
        <v>257</v>
      </c>
      <c r="J1" s="177" t="s">
        <v>258</v>
      </c>
      <c r="K1" s="177" t="s">
        <v>259</v>
      </c>
      <c r="L1" s="177" t="s">
        <v>260</v>
      </c>
      <c r="M1" s="177" t="s">
        <v>261</v>
      </c>
      <c r="N1" s="177" t="s">
        <v>291</v>
      </c>
      <c r="O1" s="177" t="s">
        <v>292</v>
      </c>
      <c r="P1" s="178" t="s">
        <v>262</v>
      </c>
      <c r="Q1" s="177" t="s">
        <v>263</v>
      </c>
      <c r="R1" s="177" t="s">
        <v>264</v>
      </c>
      <c r="S1" s="179" t="s">
        <v>293</v>
      </c>
      <c r="T1"/>
      <c r="U1"/>
      <c r="V1"/>
      <c r="W1"/>
      <c r="X1"/>
      <c r="Y1"/>
      <c r="Z1"/>
    </row>
    <row r="2" spans="1:26" ht="22" customHeight="1">
      <c r="A2" s="237" t="s">
        <v>489</v>
      </c>
      <c r="B2" s="238"/>
      <c r="C2" s="238"/>
      <c r="D2" s="238"/>
      <c r="E2" s="238"/>
      <c r="F2" s="238"/>
      <c r="G2" s="238"/>
      <c r="H2" s="238"/>
      <c r="I2" s="238"/>
      <c r="J2" s="238"/>
      <c r="K2" s="238"/>
      <c r="L2" s="238"/>
      <c r="M2" s="238"/>
      <c r="N2" s="238"/>
      <c r="O2" s="238"/>
      <c r="P2" s="238"/>
      <c r="Q2" s="238"/>
      <c r="R2" s="238"/>
      <c r="S2" s="239"/>
      <c r="T2"/>
      <c r="U2"/>
      <c r="V2"/>
      <c r="W2"/>
      <c r="X2"/>
      <c r="Y2"/>
      <c r="Z2"/>
    </row>
    <row r="3" spans="1:26" ht="24" customHeight="1">
      <c r="A3" s="154" t="s">
        <v>192</v>
      </c>
      <c r="B3" s="155" t="s">
        <v>268</v>
      </c>
      <c r="C3" s="155" t="s">
        <v>269</v>
      </c>
      <c r="D3" s="155" t="s">
        <v>17</v>
      </c>
      <c r="E3" s="155" t="s">
        <v>31</v>
      </c>
      <c r="F3" s="155" t="s">
        <v>194</v>
      </c>
      <c r="G3" s="156">
        <v>18</v>
      </c>
      <c r="H3" s="157">
        <v>70</v>
      </c>
      <c r="I3" s="157">
        <v>70</v>
      </c>
      <c r="J3" s="157">
        <v>140</v>
      </c>
      <c r="K3" s="157">
        <v>400</v>
      </c>
      <c r="L3" s="157">
        <v>10</v>
      </c>
      <c r="M3" s="157">
        <v>70</v>
      </c>
      <c r="N3" s="158">
        <f>SUM(H3:M3)</f>
        <v>760</v>
      </c>
      <c r="O3" s="157">
        <v>950</v>
      </c>
      <c r="P3" s="101">
        <v>3727</v>
      </c>
      <c r="Q3" s="159" t="s">
        <v>195</v>
      </c>
      <c r="R3" s="160">
        <f>IFERROR(N3+IF(ISNUMBER(O3),O3,0)+IF(ISNUMBER(P3),P3,0),"")</f>
        <v>5437</v>
      </c>
      <c r="S3" s="161" t="s">
        <v>397</v>
      </c>
      <c r="T3"/>
      <c r="U3"/>
      <c r="V3"/>
      <c r="W3"/>
      <c r="X3"/>
      <c r="Y3"/>
      <c r="Z3"/>
    </row>
    <row r="4" spans="1:26" ht="24" customHeight="1">
      <c r="A4" s="154" t="s">
        <v>198</v>
      </c>
      <c r="B4" s="155" t="s">
        <v>270</v>
      </c>
      <c r="C4" s="155" t="s">
        <v>269</v>
      </c>
      <c r="D4" s="155" t="s">
        <v>17</v>
      </c>
      <c r="E4" s="155" t="s">
        <v>31</v>
      </c>
      <c r="F4" s="155" t="s">
        <v>199</v>
      </c>
      <c r="G4" s="156">
        <v>4</v>
      </c>
      <c r="H4" s="157">
        <v>70</v>
      </c>
      <c r="I4" s="157">
        <v>70</v>
      </c>
      <c r="J4" s="157">
        <v>170</v>
      </c>
      <c r="K4" s="157">
        <v>250</v>
      </c>
      <c r="L4" s="157">
        <v>50</v>
      </c>
      <c r="M4" s="157">
        <v>50</v>
      </c>
      <c r="N4" s="158">
        <f>SUM(H4:M4)</f>
        <v>660</v>
      </c>
      <c r="O4" s="157">
        <v>950</v>
      </c>
      <c r="P4" s="101">
        <v>5327</v>
      </c>
      <c r="Q4" s="159" t="s">
        <v>200</v>
      </c>
      <c r="R4" s="160">
        <f>IFERROR(N4+IF(ISNUMBER(O4),O4,0)+IF(ISNUMBER(P4),P4,0),"")</f>
        <v>6937</v>
      </c>
      <c r="S4" s="161" t="s">
        <v>212</v>
      </c>
      <c r="T4"/>
      <c r="U4"/>
      <c r="V4"/>
      <c r="W4"/>
      <c r="X4"/>
      <c r="Y4"/>
      <c r="Z4"/>
    </row>
    <row r="5" spans="1:26" ht="22" customHeight="1">
      <c r="A5" s="240" t="s">
        <v>478</v>
      </c>
      <c r="B5" s="241"/>
      <c r="C5" s="241"/>
      <c r="D5" s="241"/>
      <c r="E5" s="241"/>
      <c r="F5" s="241"/>
      <c r="G5" s="241"/>
      <c r="H5" s="241"/>
      <c r="I5" s="241"/>
      <c r="J5" s="241"/>
      <c r="K5" s="241"/>
      <c r="L5" s="241"/>
      <c r="M5" s="241"/>
      <c r="N5" s="241"/>
      <c r="O5" s="241"/>
      <c r="P5" s="241"/>
      <c r="Q5" s="241"/>
      <c r="R5" s="241"/>
      <c r="S5" s="242"/>
      <c r="T5"/>
      <c r="U5"/>
      <c r="V5"/>
      <c r="W5"/>
      <c r="X5"/>
      <c r="Y5"/>
      <c r="Z5"/>
    </row>
    <row r="6" spans="1:26" ht="24" customHeight="1">
      <c r="A6" s="76" t="s">
        <v>228</v>
      </c>
      <c r="B6" s="81" t="s">
        <v>40</v>
      </c>
      <c r="C6" s="81" t="s">
        <v>229</v>
      </c>
      <c r="D6" s="81" t="s">
        <v>39</v>
      </c>
      <c r="E6" s="81" t="s">
        <v>105</v>
      </c>
      <c r="F6" s="81" t="s">
        <v>230</v>
      </c>
      <c r="G6" s="66">
        <v>9</v>
      </c>
      <c r="H6" s="86">
        <v>70</v>
      </c>
      <c r="I6" s="86">
        <v>50</v>
      </c>
      <c r="J6" s="86">
        <v>260</v>
      </c>
      <c r="K6" s="86">
        <v>250</v>
      </c>
      <c r="L6" s="86">
        <v>90</v>
      </c>
      <c r="M6" s="86">
        <v>80</v>
      </c>
      <c r="N6" s="91">
        <f t="shared" ref="N6:N22" si="0">SUM(H6:M6)</f>
        <v>800</v>
      </c>
      <c r="O6" s="86" t="s">
        <v>169</v>
      </c>
      <c r="P6" s="101">
        <v>2120</v>
      </c>
      <c r="Q6" s="71" t="s">
        <v>265</v>
      </c>
      <c r="R6" s="96">
        <f t="shared" ref="R6:R22" si="1">IFERROR(N6+IF(ISNUMBER(O6),O6,0)+IF(ISNUMBER(P6),P6,0),"")</f>
        <v>2920</v>
      </c>
      <c r="S6" s="105" t="s">
        <v>140</v>
      </c>
      <c r="T6"/>
      <c r="U6"/>
      <c r="V6"/>
      <c r="W6"/>
      <c r="X6"/>
      <c r="Y6"/>
      <c r="Z6"/>
    </row>
    <row r="7" spans="1:26" ht="24" customHeight="1">
      <c r="A7" s="76" t="s">
        <v>231</v>
      </c>
      <c r="B7" s="81" t="s">
        <v>232</v>
      </c>
      <c r="C7" s="81" t="s">
        <v>233</v>
      </c>
      <c r="D7" s="81" t="s">
        <v>56</v>
      </c>
      <c r="E7" s="81" t="s">
        <v>105</v>
      </c>
      <c r="F7" s="81" t="s">
        <v>230</v>
      </c>
      <c r="G7" s="66">
        <v>2</v>
      </c>
      <c r="H7" s="86">
        <v>70</v>
      </c>
      <c r="I7" s="86">
        <v>50</v>
      </c>
      <c r="J7" s="86">
        <v>260</v>
      </c>
      <c r="K7" s="86">
        <v>325</v>
      </c>
      <c r="L7" s="86">
        <v>90</v>
      </c>
      <c r="M7" s="86">
        <v>80</v>
      </c>
      <c r="N7" s="91">
        <f t="shared" si="0"/>
        <v>875</v>
      </c>
      <c r="O7" s="86" t="s">
        <v>169</v>
      </c>
      <c r="P7" s="101">
        <v>2000</v>
      </c>
      <c r="Q7" s="71" t="s">
        <v>398</v>
      </c>
      <c r="R7" s="96">
        <f t="shared" si="1"/>
        <v>2875</v>
      </c>
      <c r="S7" s="105" t="s">
        <v>140</v>
      </c>
      <c r="T7"/>
      <c r="U7"/>
      <c r="V7"/>
      <c r="W7"/>
      <c r="X7"/>
      <c r="Y7"/>
      <c r="Z7"/>
    </row>
    <row r="8" spans="1:26" ht="24" customHeight="1">
      <c r="A8" s="76" t="s">
        <v>234</v>
      </c>
      <c r="B8" s="81" t="s">
        <v>94</v>
      </c>
      <c r="C8" s="81" t="s">
        <v>235</v>
      </c>
      <c r="D8" s="81" t="s">
        <v>39</v>
      </c>
      <c r="E8" s="81" t="s">
        <v>105</v>
      </c>
      <c r="F8" s="81" t="s">
        <v>230</v>
      </c>
      <c r="G8" s="66">
        <v>1</v>
      </c>
      <c r="H8" s="86">
        <v>70</v>
      </c>
      <c r="I8" s="86">
        <v>50</v>
      </c>
      <c r="J8" s="86">
        <v>260</v>
      </c>
      <c r="K8" s="86">
        <v>250</v>
      </c>
      <c r="L8" s="86">
        <v>90</v>
      </c>
      <c r="M8" s="86">
        <v>80</v>
      </c>
      <c r="N8" s="91">
        <f t="shared" si="0"/>
        <v>800</v>
      </c>
      <c r="O8" s="86" t="s">
        <v>169</v>
      </c>
      <c r="P8" s="101">
        <v>2239</v>
      </c>
      <c r="Q8" s="71" t="s">
        <v>398</v>
      </c>
      <c r="R8" s="96">
        <f t="shared" si="1"/>
        <v>3039</v>
      </c>
      <c r="S8" s="105" t="s">
        <v>140</v>
      </c>
      <c r="T8"/>
      <c r="U8"/>
      <c r="V8"/>
      <c r="W8"/>
      <c r="X8"/>
      <c r="Y8"/>
      <c r="Z8"/>
    </row>
    <row r="9" spans="1:26" ht="24" customHeight="1">
      <c r="A9" s="76" t="s">
        <v>236</v>
      </c>
      <c r="B9" s="81" t="s">
        <v>102</v>
      </c>
      <c r="C9" s="81" t="s">
        <v>233</v>
      </c>
      <c r="D9" s="81" t="s">
        <v>29</v>
      </c>
      <c r="E9" s="81" t="s">
        <v>105</v>
      </c>
      <c r="F9" s="81" t="s">
        <v>230</v>
      </c>
      <c r="G9" s="66">
        <v>2</v>
      </c>
      <c r="H9" s="86">
        <v>70</v>
      </c>
      <c r="I9" s="86">
        <v>80</v>
      </c>
      <c r="J9" s="86">
        <v>160</v>
      </c>
      <c r="K9" s="86">
        <v>1000</v>
      </c>
      <c r="L9" s="86">
        <v>50</v>
      </c>
      <c r="M9" s="86">
        <v>75</v>
      </c>
      <c r="N9" s="91">
        <f t="shared" si="0"/>
        <v>1435</v>
      </c>
      <c r="O9" s="86" t="s">
        <v>169</v>
      </c>
      <c r="P9" s="101">
        <v>2790</v>
      </c>
      <c r="Q9" s="71" t="s">
        <v>266</v>
      </c>
      <c r="R9" s="96">
        <f t="shared" si="1"/>
        <v>4225</v>
      </c>
      <c r="S9" s="105" t="s">
        <v>140</v>
      </c>
      <c r="T9"/>
      <c r="U9"/>
      <c r="V9"/>
      <c r="W9"/>
      <c r="X9"/>
      <c r="Y9"/>
      <c r="Z9"/>
    </row>
    <row r="10" spans="1:26" ht="24" customHeight="1">
      <c r="A10" s="76" t="s">
        <v>237</v>
      </c>
      <c r="B10" s="81" t="s">
        <v>103</v>
      </c>
      <c r="C10" s="81" t="s">
        <v>233</v>
      </c>
      <c r="D10" s="81" t="s">
        <v>227</v>
      </c>
      <c r="E10" s="81" t="s">
        <v>105</v>
      </c>
      <c r="F10" s="81" t="s">
        <v>230</v>
      </c>
      <c r="G10" s="66">
        <v>1</v>
      </c>
      <c r="H10" s="86">
        <v>70</v>
      </c>
      <c r="I10" s="86">
        <v>35</v>
      </c>
      <c r="J10" s="86">
        <v>145</v>
      </c>
      <c r="K10" s="86">
        <v>350</v>
      </c>
      <c r="L10" s="86">
        <v>150</v>
      </c>
      <c r="M10" s="86">
        <v>50</v>
      </c>
      <c r="N10" s="91">
        <f t="shared" si="0"/>
        <v>800</v>
      </c>
      <c r="O10" s="86" t="s">
        <v>169</v>
      </c>
      <c r="P10" s="101">
        <v>3400</v>
      </c>
      <c r="Q10" s="71" t="s">
        <v>267</v>
      </c>
      <c r="R10" s="96">
        <f t="shared" si="1"/>
        <v>4200</v>
      </c>
      <c r="S10" s="105" t="s">
        <v>140</v>
      </c>
      <c r="T10"/>
      <c r="U10"/>
      <c r="V10"/>
      <c r="W10"/>
      <c r="X10"/>
      <c r="Y10"/>
      <c r="Z10"/>
    </row>
    <row r="11" spans="1:26" ht="24" customHeight="1">
      <c r="A11" s="76" t="s">
        <v>238</v>
      </c>
      <c r="B11" s="81" t="s">
        <v>82</v>
      </c>
      <c r="C11" s="81" t="s">
        <v>235</v>
      </c>
      <c r="D11" s="81" t="s">
        <v>17</v>
      </c>
      <c r="E11" s="81" t="s">
        <v>105</v>
      </c>
      <c r="F11" s="81" t="s">
        <v>239</v>
      </c>
      <c r="G11" s="66">
        <v>2</v>
      </c>
      <c r="H11" s="86">
        <v>70</v>
      </c>
      <c r="I11" s="86">
        <v>70</v>
      </c>
      <c r="J11" s="86">
        <v>145</v>
      </c>
      <c r="K11" s="86">
        <v>550</v>
      </c>
      <c r="L11" s="86">
        <v>15</v>
      </c>
      <c r="M11" s="86">
        <v>60</v>
      </c>
      <c r="N11" s="91">
        <f t="shared" si="0"/>
        <v>910</v>
      </c>
      <c r="O11" s="86" t="s">
        <v>169</v>
      </c>
      <c r="P11" s="101">
        <v>1748</v>
      </c>
      <c r="Q11" s="71" t="s">
        <v>219</v>
      </c>
      <c r="R11" s="96">
        <f t="shared" si="1"/>
        <v>2658</v>
      </c>
      <c r="S11" s="105" t="s">
        <v>141</v>
      </c>
      <c r="T11"/>
      <c r="U11"/>
      <c r="V11"/>
      <c r="W11"/>
      <c r="X11"/>
      <c r="Y11"/>
      <c r="Z11"/>
    </row>
    <row r="12" spans="1:26" ht="24" customHeight="1">
      <c r="A12" s="76" t="s">
        <v>240</v>
      </c>
      <c r="B12" s="81" t="s">
        <v>83</v>
      </c>
      <c r="C12" s="81" t="s">
        <v>235</v>
      </c>
      <c r="D12" s="81" t="s">
        <v>17</v>
      </c>
      <c r="E12" s="81" t="s">
        <v>105</v>
      </c>
      <c r="F12" s="81" t="s">
        <v>230</v>
      </c>
      <c r="G12" s="66">
        <v>1</v>
      </c>
      <c r="H12" s="86">
        <v>70</v>
      </c>
      <c r="I12" s="86">
        <v>70</v>
      </c>
      <c r="J12" s="86">
        <v>145</v>
      </c>
      <c r="K12" s="86">
        <v>550</v>
      </c>
      <c r="L12" s="86">
        <v>15</v>
      </c>
      <c r="M12" s="86">
        <v>60</v>
      </c>
      <c r="N12" s="91">
        <f t="shared" si="0"/>
        <v>910</v>
      </c>
      <c r="O12" s="86" t="s">
        <v>169</v>
      </c>
      <c r="P12" s="101">
        <v>1749</v>
      </c>
      <c r="Q12" s="71" t="s">
        <v>398</v>
      </c>
      <c r="R12" s="96">
        <f t="shared" si="1"/>
        <v>2659</v>
      </c>
      <c r="S12" s="105" t="s">
        <v>141</v>
      </c>
      <c r="T12"/>
      <c r="U12"/>
      <c r="V12"/>
      <c r="W12"/>
      <c r="X12"/>
      <c r="Y12"/>
      <c r="Z12"/>
    </row>
    <row r="13" spans="1:26" ht="24" customHeight="1">
      <c r="A13" s="76" t="s">
        <v>241</v>
      </c>
      <c r="B13" s="81" t="s">
        <v>84</v>
      </c>
      <c r="C13" s="81" t="s">
        <v>235</v>
      </c>
      <c r="D13" s="81" t="s">
        <v>17</v>
      </c>
      <c r="E13" s="81" t="s">
        <v>105</v>
      </c>
      <c r="F13" s="81" t="s">
        <v>230</v>
      </c>
      <c r="G13" s="66">
        <v>0.5</v>
      </c>
      <c r="H13" s="86">
        <v>70</v>
      </c>
      <c r="I13" s="86">
        <v>70</v>
      </c>
      <c r="J13" s="86">
        <v>145</v>
      </c>
      <c r="K13" s="86">
        <v>550</v>
      </c>
      <c r="L13" s="86">
        <v>15</v>
      </c>
      <c r="M13" s="86">
        <v>60</v>
      </c>
      <c r="N13" s="91">
        <f t="shared" si="0"/>
        <v>910</v>
      </c>
      <c r="O13" s="86" t="s">
        <v>169</v>
      </c>
      <c r="P13" s="101">
        <v>1748</v>
      </c>
      <c r="Q13" s="71" t="s">
        <v>398</v>
      </c>
      <c r="R13" s="96">
        <f t="shared" si="1"/>
        <v>2658</v>
      </c>
      <c r="S13" s="105" t="s">
        <v>141</v>
      </c>
      <c r="T13"/>
      <c r="U13"/>
      <c r="V13"/>
      <c r="W13"/>
      <c r="X13"/>
      <c r="Y13"/>
      <c r="Z13"/>
    </row>
    <row r="14" spans="1:26" ht="24" customHeight="1">
      <c r="A14" s="76" t="s">
        <v>242</v>
      </c>
      <c r="B14" s="81" t="s">
        <v>85</v>
      </c>
      <c r="C14" s="81" t="s">
        <v>235</v>
      </c>
      <c r="D14" s="81" t="s">
        <v>17</v>
      </c>
      <c r="E14" s="81" t="s">
        <v>105</v>
      </c>
      <c r="F14" s="81" t="s">
        <v>230</v>
      </c>
      <c r="G14" s="66">
        <v>2</v>
      </c>
      <c r="H14" s="86">
        <v>70</v>
      </c>
      <c r="I14" s="86">
        <v>70</v>
      </c>
      <c r="J14" s="86">
        <v>145</v>
      </c>
      <c r="K14" s="86">
        <v>250</v>
      </c>
      <c r="L14" s="86">
        <v>15</v>
      </c>
      <c r="M14" s="86">
        <v>60</v>
      </c>
      <c r="N14" s="91">
        <f t="shared" si="0"/>
        <v>610</v>
      </c>
      <c r="O14" s="86" t="s">
        <v>169</v>
      </c>
      <c r="P14" s="101">
        <v>1750</v>
      </c>
      <c r="Q14" s="71" t="s">
        <v>398</v>
      </c>
      <c r="R14" s="96">
        <f t="shared" si="1"/>
        <v>2360</v>
      </c>
      <c r="S14" s="105" t="s">
        <v>141</v>
      </c>
      <c r="T14"/>
      <c r="U14"/>
      <c r="V14"/>
      <c r="W14"/>
      <c r="X14"/>
      <c r="Y14"/>
      <c r="Z14"/>
    </row>
    <row r="15" spans="1:26" ht="24" customHeight="1">
      <c r="A15" s="76" t="s">
        <v>243</v>
      </c>
      <c r="B15" s="81" t="s">
        <v>86</v>
      </c>
      <c r="C15" s="81" t="s">
        <v>235</v>
      </c>
      <c r="D15" s="81" t="s">
        <v>17</v>
      </c>
      <c r="E15" s="81" t="s">
        <v>105</v>
      </c>
      <c r="F15" s="81" t="s">
        <v>230</v>
      </c>
      <c r="G15" s="66">
        <v>2</v>
      </c>
      <c r="H15" s="86">
        <v>70</v>
      </c>
      <c r="I15" s="86">
        <v>70</v>
      </c>
      <c r="J15" s="86">
        <v>145</v>
      </c>
      <c r="K15" s="86">
        <v>200</v>
      </c>
      <c r="L15" s="86">
        <v>15</v>
      </c>
      <c r="M15" s="86">
        <v>50</v>
      </c>
      <c r="N15" s="91">
        <f t="shared" si="0"/>
        <v>550</v>
      </c>
      <c r="O15" s="86" t="s">
        <v>169</v>
      </c>
      <c r="P15" s="101">
        <v>1750</v>
      </c>
      <c r="Q15" s="71" t="s">
        <v>398</v>
      </c>
      <c r="R15" s="96">
        <f t="shared" si="1"/>
        <v>2300</v>
      </c>
      <c r="S15" s="105" t="s">
        <v>141</v>
      </c>
      <c r="T15"/>
      <c r="U15"/>
      <c r="V15"/>
      <c r="W15"/>
      <c r="X15"/>
      <c r="Y15"/>
      <c r="Z15"/>
    </row>
    <row r="16" spans="1:26" ht="24" customHeight="1">
      <c r="A16" s="76" t="s">
        <v>244</v>
      </c>
      <c r="B16" s="81" t="s">
        <v>87</v>
      </c>
      <c r="C16" s="81" t="s">
        <v>235</v>
      </c>
      <c r="D16" s="81" t="s">
        <v>17</v>
      </c>
      <c r="E16" s="81" t="s">
        <v>105</v>
      </c>
      <c r="F16" s="81" t="s">
        <v>230</v>
      </c>
      <c r="G16" s="66">
        <v>0.5</v>
      </c>
      <c r="H16" s="86">
        <v>70</v>
      </c>
      <c r="I16" s="86">
        <v>70</v>
      </c>
      <c r="J16" s="86">
        <v>145</v>
      </c>
      <c r="K16" s="86">
        <v>1550</v>
      </c>
      <c r="L16" s="86">
        <v>15</v>
      </c>
      <c r="M16" s="86">
        <v>60</v>
      </c>
      <c r="N16" s="91">
        <f t="shared" si="0"/>
        <v>1910</v>
      </c>
      <c r="O16" s="86" t="s">
        <v>169</v>
      </c>
      <c r="P16" s="101">
        <v>1750</v>
      </c>
      <c r="Q16" s="71" t="s">
        <v>398</v>
      </c>
      <c r="R16" s="96">
        <f t="shared" si="1"/>
        <v>3660</v>
      </c>
      <c r="S16" s="105" t="s">
        <v>141</v>
      </c>
      <c r="T16"/>
      <c r="U16"/>
      <c r="V16"/>
      <c r="W16"/>
      <c r="X16"/>
      <c r="Y16"/>
      <c r="Z16"/>
    </row>
    <row r="17" spans="1:26" ht="24" customHeight="1">
      <c r="A17" s="76" t="s">
        <v>245</v>
      </c>
      <c r="B17" s="81" t="s">
        <v>97</v>
      </c>
      <c r="C17" s="81" t="s">
        <v>233</v>
      </c>
      <c r="D17" s="81" t="s">
        <v>17</v>
      </c>
      <c r="E17" s="81" t="s">
        <v>105</v>
      </c>
      <c r="F17" s="81" t="s">
        <v>230</v>
      </c>
      <c r="G17" s="66">
        <v>1</v>
      </c>
      <c r="H17" s="86">
        <v>70</v>
      </c>
      <c r="I17" s="86">
        <v>70</v>
      </c>
      <c r="J17" s="86">
        <v>145</v>
      </c>
      <c r="K17" s="86">
        <v>350</v>
      </c>
      <c r="L17" s="86">
        <v>15</v>
      </c>
      <c r="M17" s="86">
        <v>60</v>
      </c>
      <c r="N17" s="91">
        <f t="shared" si="0"/>
        <v>710</v>
      </c>
      <c r="O17" s="86" t="s">
        <v>169</v>
      </c>
      <c r="P17" s="101">
        <v>1750</v>
      </c>
      <c r="Q17" s="71" t="s">
        <v>398</v>
      </c>
      <c r="R17" s="96">
        <f t="shared" si="1"/>
        <v>2460</v>
      </c>
      <c r="S17" s="105" t="s">
        <v>141</v>
      </c>
      <c r="T17"/>
      <c r="U17"/>
      <c r="V17"/>
      <c r="W17"/>
      <c r="X17"/>
      <c r="Y17"/>
      <c r="Z17"/>
    </row>
    <row r="18" spans="1:26" ht="24" customHeight="1">
      <c r="A18" s="76" t="s">
        <v>246</v>
      </c>
      <c r="B18" s="81" t="s">
        <v>247</v>
      </c>
      <c r="C18" s="81" t="s">
        <v>233</v>
      </c>
      <c r="D18" s="81" t="s">
        <v>44</v>
      </c>
      <c r="E18" s="81" t="s">
        <v>105</v>
      </c>
      <c r="F18" s="81" t="s">
        <v>230</v>
      </c>
      <c r="G18" s="66">
        <v>1</v>
      </c>
      <c r="H18" s="86">
        <v>70</v>
      </c>
      <c r="I18" s="86">
        <v>70</v>
      </c>
      <c r="J18" s="86">
        <v>145</v>
      </c>
      <c r="K18" s="86">
        <v>200</v>
      </c>
      <c r="L18" s="86">
        <v>15</v>
      </c>
      <c r="M18" s="86">
        <v>50</v>
      </c>
      <c r="N18" s="91">
        <f t="shared" si="0"/>
        <v>550</v>
      </c>
      <c r="O18" s="86" t="s">
        <v>169</v>
      </c>
      <c r="P18" s="101">
        <v>1750</v>
      </c>
      <c r="Q18" s="71" t="s">
        <v>398</v>
      </c>
      <c r="R18" s="96">
        <f t="shared" si="1"/>
        <v>2300</v>
      </c>
      <c r="S18" s="105" t="s">
        <v>141</v>
      </c>
      <c r="T18"/>
      <c r="U18"/>
      <c r="V18"/>
      <c r="W18"/>
      <c r="X18"/>
      <c r="Y18"/>
      <c r="Z18"/>
    </row>
    <row r="19" spans="1:26" ht="24" customHeight="1">
      <c r="A19" s="76" t="s">
        <v>248</v>
      </c>
      <c r="B19" s="81" t="s">
        <v>98</v>
      </c>
      <c r="C19" s="81" t="s">
        <v>233</v>
      </c>
      <c r="D19" s="81" t="s">
        <v>17</v>
      </c>
      <c r="E19" s="81" t="s">
        <v>105</v>
      </c>
      <c r="F19" s="81" t="s">
        <v>239</v>
      </c>
      <c r="G19" s="66">
        <v>1</v>
      </c>
      <c r="H19" s="86">
        <v>70</v>
      </c>
      <c r="I19" s="86">
        <v>70</v>
      </c>
      <c r="J19" s="86">
        <v>145</v>
      </c>
      <c r="K19" s="86">
        <v>50</v>
      </c>
      <c r="L19" s="86">
        <v>15</v>
      </c>
      <c r="M19" s="86">
        <v>60</v>
      </c>
      <c r="N19" s="91">
        <f t="shared" si="0"/>
        <v>410</v>
      </c>
      <c r="O19" s="86" t="s">
        <v>169</v>
      </c>
      <c r="P19" s="101">
        <v>1750</v>
      </c>
      <c r="Q19" s="71" t="s">
        <v>398</v>
      </c>
      <c r="R19" s="96">
        <f t="shared" si="1"/>
        <v>2160</v>
      </c>
      <c r="S19" s="105" t="s">
        <v>141</v>
      </c>
      <c r="T19"/>
      <c r="U19"/>
      <c r="V19"/>
      <c r="W19"/>
      <c r="X19"/>
      <c r="Y19"/>
      <c r="Z19"/>
    </row>
    <row r="20" spans="1:26" ht="24" customHeight="1">
      <c r="A20" s="76" t="s">
        <v>249</v>
      </c>
      <c r="B20" s="81" t="s">
        <v>250</v>
      </c>
      <c r="C20" s="81" t="s">
        <v>235</v>
      </c>
      <c r="D20" s="81" t="s">
        <v>17</v>
      </c>
      <c r="E20" s="81" t="s">
        <v>105</v>
      </c>
      <c r="F20" s="81" t="s">
        <v>230</v>
      </c>
      <c r="G20" s="66">
        <v>1</v>
      </c>
      <c r="H20" s="86">
        <v>70</v>
      </c>
      <c r="I20" s="86">
        <v>70</v>
      </c>
      <c r="J20" s="86">
        <v>145</v>
      </c>
      <c r="K20" s="86">
        <v>550</v>
      </c>
      <c r="L20" s="86">
        <v>15</v>
      </c>
      <c r="M20" s="86">
        <v>60</v>
      </c>
      <c r="N20" s="91">
        <f t="shared" si="0"/>
        <v>910</v>
      </c>
      <c r="O20" s="86" t="s">
        <v>169</v>
      </c>
      <c r="P20" s="101">
        <v>1750</v>
      </c>
      <c r="Q20" s="71" t="s">
        <v>398</v>
      </c>
      <c r="R20" s="96">
        <f t="shared" si="1"/>
        <v>2660</v>
      </c>
      <c r="S20" s="105" t="s">
        <v>141</v>
      </c>
      <c r="T20"/>
      <c r="U20"/>
      <c r="V20"/>
      <c r="W20"/>
      <c r="X20"/>
      <c r="Y20"/>
      <c r="Z20"/>
    </row>
    <row r="21" spans="1:26" ht="24" customHeight="1">
      <c r="A21" s="76" t="s">
        <v>251</v>
      </c>
      <c r="B21" s="81" t="s">
        <v>99</v>
      </c>
      <c r="C21" s="81" t="s">
        <v>233</v>
      </c>
      <c r="D21" s="81" t="s">
        <v>17</v>
      </c>
      <c r="E21" s="81" t="s">
        <v>105</v>
      </c>
      <c r="F21" s="81" t="s">
        <v>230</v>
      </c>
      <c r="G21" s="66">
        <v>2</v>
      </c>
      <c r="H21" s="86">
        <v>70</v>
      </c>
      <c r="I21" s="86">
        <v>70</v>
      </c>
      <c r="J21" s="86">
        <v>145</v>
      </c>
      <c r="K21" s="86">
        <v>550</v>
      </c>
      <c r="L21" s="86">
        <v>15</v>
      </c>
      <c r="M21" s="86">
        <v>60</v>
      </c>
      <c r="N21" s="91">
        <f t="shared" si="0"/>
        <v>910</v>
      </c>
      <c r="O21" s="86" t="s">
        <v>169</v>
      </c>
      <c r="P21" s="101">
        <v>1750</v>
      </c>
      <c r="Q21" s="71" t="s">
        <v>398</v>
      </c>
      <c r="R21" s="96">
        <f t="shared" si="1"/>
        <v>2660</v>
      </c>
      <c r="S21" s="105" t="s">
        <v>141</v>
      </c>
      <c r="T21"/>
      <c r="U21"/>
      <c r="V21"/>
      <c r="W21"/>
      <c r="X21"/>
      <c r="Y21"/>
      <c r="Z21"/>
    </row>
    <row r="22" spans="1:26" ht="24" customHeight="1">
      <c r="A22" s="76" t="s">
        <v>252</v>
      </c>
      <c r="B22" s="81" t="s">
        <v>100</v>
      </c>
      <c r="C22" s="81" t="s">
        <v>233</v>
      </c>
      <c r="D22" s="81" t="s">
        <v>17</v>
      </c>
      <c r="E22" s="81" t="s">
        <v>105</v>
      </c>
      <c r="F22" s="81" t="s">
        <v>230</v>
      </c>
      <c r="G22" s="66">
        <v>2</v>
      </c>
      <c r="H22" s="86">
        <v>70</v>
      </c>
      <c r="I22" s="86">
        <v>70</v>
      </c>
      <c r="J22" s="86">
        <v>145</v>
      </c>
      <c r="K22" s="86">
        <v>1500</v>
      </c>
      <c r="L22" s="86">
        <v>15</v>
      </c>
      <c r="M22" s="86">
        <v>60</v>
      </c>
      <c r="N22" s="91">
        <f t="shared" si="0"/>
        <v>1860</v>
      </c>
      <c r="O22" s="86" t="s">
        <v>169</v>
      </c>
      <c r="P22" s="101">
        <v>1750</v>
      </c>
      <c r="Q22" s="71" t="s">
        <v>398</v>
      </c>
      <c r="R22" s="96">
        <f t="shared" si="1"/>
        <v>3610</v>
      </c>
      <c r="S22" s="105" t="s">
        <v>141</v>
      </c>
      <c r="T22"/>
      <c r="U22"/>
      <c r="V22"/>
      <c r="W22"/>
      <c r="X22"/>
      <c r="Y22"/>
      <c r="Z22"/>
    </row>
    <row r="23" spans="1:26" ht="22" customHeight="1">
      <c r="A23" s="243" t="s">
        <v>490</v>
      </c>
      <c r="B23" s="244"/>
      <c r="C23" s="244"/>
      <c r="D23" s="244"/>
      <c r="E23" s="244"/>
      <c r="F23" s="244"/>
      <c r="G23" s="244"/>
      <c r="H23" s="244"/>
      <c r="I23" s="244"/>
      <c r="J23" s="244"/>
      <c r="K23" s="244"/>
      <c r="L23" s="244"/>
      <c r="M23" s="244"/>
      <c r="N23" s="244"/>
      <c r="O23" s="244"/>
      <c r="P23" s="244"/>
      <c r="Q23" s="244"/>
      <c r="R23" s="244"/>
      <c r="S23" s="245"/>
      <c r="T23"/>
      <c r="U23"/>
      <c r="V23"/>
      <c r="W23"/>
      <c r="X23"/>
      <c r="Y23"/>
      <c r="Z23"/>
    </row>
    <row r="24" spans="1:26" ht="24" customHeight="1">
      <c r="A24" s="77" t="s">
        <v>201</v>
      </c>
      <c r="B24" s="82" t="s">
        <v>268</v>
      </c>
      <c r="C24" s="82" t="s">
        <v>371</v>
      </c>
      <c r="D24" s="82" t="s">
        <v>17</v>
      </c>
      <c r="E24" s="82" t="s">
        <v>18</v>
      </c>
      <c r="F24" s="82" t="s">
        <v>199</v>
      </c>
      <c r="G24" s="67">
        <v>1</v>
      </c>
      <c r="H24" s="87">
        <v>70</v>
      </c>
      <c r="I24" s="87">
        <v>70</v>
      </c>
      <c r="J24" s="87">
        <v>140</v>
      </c>
      <c r="K24" s="87">
        <v>400</v>
      </c>
      <c r="L24" s="87">
        <v>10</v>
      </c>
      <c r="M24" s="87">
        <v>70</v>
      </c>
      <c r="N24" s="92">
        <f>SUM(H24:M24)</f>
        <v>760</v>
      </c>
      <c r="O24" s="87">
        <v>2685</v>
      </c>
      <c r="P24" s="101">
        <v>2350</v>
      </c>
      <c r="Q24" s="72" t="s">
        <v>151</v>
      </c>
      <c r="R24" s="97">
        <f>IFERROR(N24+IF(ISNUMBER(O24),O24,0)+IF(ISNUMBER(P24),P24,0),"")</f>
        <v>5795</v>
      </c>
      <c r="S24" s="106" t="s">
        <v>142</v>
      </c>
      <c r="T24"/>
      <c r="U24"/>
      <c r="V24"/>
      <c r="W24"/>
      <c r="X24"/>
      <c r="Y24"/>
      <c r="Z24"/>
    </row>
    <row r="25" spans="1:26" ht="24" customHeight="1">
      <c r="A25" s="77" t="s">
        <v>204</v>
      </c>
      <c r="B25" s="82" t="s">
        <v>271</v>
      </c>
      <c r="C25" s="82" t="s">
        <v>372</v>
      </c>
      <c r="D25" s="82" t="s">
        <v>17</v>
      </c>
      <c r="E25" s="82" t="s">
        <v>23</v>
      </c>
      <c r="F25" s="82" t="s">
        <v>199</v>
      </c>
      <c r="G25" s="67">
        <v>1</v>
      </c>
      <c r="H25" s="87">
        <v>70</v>
      </c>
      <c r="I25" s="87">
        <v>70</v>
      </c>
      <c r="J25" s="87">
        <v>140</v>
      </c>
      <c r="K25" s="87">
        <v>250</v>
      </c>
      <c r="L25" s="87">
        <v>10</v>
      </c>
      <c r="M25" s="87">
        <v>70</v>
      </c>
      <c r="N25" s="92">
        <f>SUM(H25:M25)</f>
        <v>610</v>
      </c>
      <c r="O25" s="87">
        <v>885</v>
      </c>
      <c r="P25" s="101">
        <v>3750</v>
      </c>
      <c r="Q25" s="72" t="s">
        <v>398</v>
      </c>
      <c r="R25" s="97">
        <f>IFERROR(N25+IF(ISNUMBER(O25),O25,0)+IF(ISNUMBER(P25),P25,0),"")</f>
        <v>5245</v>
      </c>
      <c r="S25" s="106" t="s">
        <v>142</v>
      </c>
      <c r="T25"/>
      <c r="U25"/>
      <c r="V25"/>
      <c r="W25"/>
      <c r="X25"/>
      <c r="Y25"/>
      <c r="Z25"/>
    </row>
    <row r="26" spans="1:26" ht="24" customHeight="1">
      <c r="A26" s="77" t="s">
        <v>205</v>
      </c>
      <c r="B26" s="82" t="s">
        <v>373</v>
      </c>
      <c r="C26" s="82" t="s">
        <v>374</v>
      </c>
      <c r="D26" s="82" t="s">
        <v>26</v>
      </c>
      <c r="E26" s="82" t="s">
        <v>27</v>
      </c>
      <c r="F26" s="82" t="s">
        <v>194</v>
      </c>
      <c r="G26" s="67">
        <v>3</v>
      </c>
      <c r="H26" s="87">
        <v>70</v>
      </c>
      <c r="I26" s="87">
        <v>70</v>
      </c>
      <c r="J26" s="87">
        <v>140</v>
      </c>
      <c r="K26" s="87">
        <v>300</v>
      </c>
      <c r="L26" s="87">
        <v>30</v>
      </c>
      <c r="M26" s="87">
        <v>70</v>
      </c>
      <c r="N26" s="92">
        <f>SUM(H26:M26)</f>
        <v>680</v>
      </c>
      <c r="O26" s="87">
        <v>2785</v>
      </c>
      <c r="P26" s="101">
        <v>2200</v>
      </c>
      <c r="Q26" s="72" t="s">
        <v>151</v>
      </c>
      <c r="R26" s="97">
        <f>IFERROR(N26+IF(ISNUMBER(O26),O26,0)+IF(ISNUMBER(P26),P26,0),"")</f>
        <v>5665</v>
      </c>
      <c r="S26" s="106" t="s">
        <v>141</v>
      </c>
      <c r="T26"/>
      <c r="U26"/>
      <c r="V26"/>
      <c r="W26"/>
      <c r="X26"/>
      <c r="Y26"/>
      <c r="Z26"/>
    </row>
    <row r="27" spans="1:26" ht="24" customHeight="1">
      <c r="A27" s="77" t="s">
        <v>207</v>
      </c>
      <c r="B27" s="82" t="s">
        <v>283</v>
      </c>
      <c r="C27" s="82" t="s">
        <v>374</v>
      </c>
      <c r="D27" s="82" t="s">
        <v>29</v>
      </c>
      <c r="E27" s="82" t="s">
        <v>27</v>
      </c>
      <c r="F27" s="82" t="s">
        <v>194</v>
      </c>
      <c r="G27" s="67">
        <v>3</v>
      </c>
      <c r="H27" s="87">
        <v>70</v>
      </c>
      <c r="I27" s="87">
        <v>80</v>
      </c>
      <c r="J27" s="87">
        <v>160</v>
      </c>
      <c r="K27" s="87">
        <v>1000</v>
      </c>
      <c r="L27" s="87">
        <v>50</v>
      </c>
      <c r="M27" s="87">
        <v>75</v>
      </c>
      <c r="N27" s="92">
        <f>SUM(H27:M27)</f>
        <v>1435</v>
      </c>
      <c r="O27" s="87">
        <v>2785</v>
      </c>
      <c r="P27" s="101">
        <v>2193</v>
      </c>
      <c r="Q27" s="72" t="s">
        <v>208</v>
      </c>
      <c r="R27" s="97">
        <f>IFERROR(N27+IF(ISNUMBER(O27),O27,0)+IF(ISNUMBER(P27),P27,0),"")</f>
        <v>6413</v>
      </c>
      <c r="S27" s="106" t="s">
        <v>141</v>
      </c>
      <c r="T27"/>
      <c r="U27"/>
      <c r="V27"/>
      <c r="W27"/>
      <c r="X27"/>
      <c r="Y27"/>
      <c r="Z27"/>
    </row>
    <row r="28" spans="1:26" ht="24" customHeight="1">
      <c r="A28" s="77" t="s">
        <v>209</v>
      </c>
      <c r="B28" s="82" t="s">
        <v>268</v>
      </c>
      <c r="C28" s="82" t="s">
        <v>374</v>
      </c>
      <c r="D28" s="82" t="s">
        <v>17</v>
      </c>
      <c r="E28" s="82" t="s">
        <v>27</v>
      </c>
      <c r="F28" s="82" t="s">
        <v>194</v>
      </c>
      <c r="G28" s="67">
        <v>3</v>
      </c>
      <c r="H28" s="87">
        <v>70</v>
      </c>
      <c r="I28" s="87">
        <v>70</v>
      </c>
      <c r="J28" s="87">
        <v>140</v>
      </c>
      <c r="K28" s="87">
        <v>400</v>
      </c>
      <c r="L28" s="87">
        <v>10</v>
      </c>
      <c r="M28" s="87">
        <v>70</v>
      </c>
      <c r="N28" s="92">
        <f>SUM(H28:M28)</f>
        <v>760</v>
      </c>
      <c r="O28" s="87">
        <v>2785</v>
      </c>
      <c r="P28" s="101">
        <v>2193</v>
      </c>
      <c r="Q28" s="72" t="s">
        <v>210</v>
      </c>
      <c r="R28" s="97">
        <f>IFERROR(N28+IF(ISNUMBER(O28),O28,0)+IF(ISNUMBER(P28),P28,0),"")</f>
        <v>5738</v>
      </c>
      <c r="S28" s="106" t="s">
        <v>141</v>
      </c>
      <c r="T28"/>
      <c r="U28"/>
      <c r="V28"/>
      <c r="W28"/>
      <c r="X28"/>
      <c r="Y28"/>
      <c r="Z28"/>
    </row>
    <row r="29" spans="1:26" ht="22" customHeight="1">
      <c r="A29" s="246" t="s">
        <v>480</v>
      </c>
      <c r="B29" s="247"/>
      <c r="C29" s="247"/>
      <c r="D29" s="247"/>
      <c r="E29" s="247"/>
      <c r="F29" s="247"/>
      <c r="G29" s="247"/>
      <c r="H29" s="247"/>
      <c r="I29" s="247"/>
      <c r="J29" s="247"/>
      <c r="K29" s="247"/>
      <c r="L29" s="247"/>
      <c r="M29" s="247"/>
      <c r="N29" s="247"/>
      <c r="O29" s="247"/>
      <c r="P29" s="247"/>
      <c r="Q29" s="247"/>
      <c r="R29" s="247"/>
      <c r="S29" s="248"/>
      <c r="T29"/>
      <c r="U29"/>
      <c r="V29"/>
      <c r="W29"/>
      <c r="X29"/>
      <c r="Y29"/>
      <c r="Z29"/>
    </row>
    <row r="30" spans="1:26" ht="24" customHeight="1">
      <c r="A30" s="162" t="s">
        <v>225</v>
      </c>
      <c r="B30" s="163" t="s">
        <v>375</v>
      </c>
      <c r="C30" s="163" t="s">
        <v>268</v>
      </c>
      <c r="D30" s="163" t="s">
        <v>56</v>
      </c>
      <c r="E30" s="163" t="s">
        <v>17</v>
      </c>
      <c r="F30" s="163" t="s">
        <v>199</v>
      </c>
      <c r="G30" s="164">
        <v>1</v>
      </c>
      <c r="H30" s="165">
        <v>70</v>
      </c>
      <c r="I30" s="165">
        <v>50</v>
      </c>
      <c r="J30" s="165">
        <v>260</v>
      </c>
      <c r="K30" s="165">
        <v>325</v>
      </c>
      <c r="L30" s="165">
        <v>90</v>
      </c>
      <c r="M30" s="165">
        <v>80</v>
      </c>
      <c r="N30" s="166">
        <f>SUM(H30:M30)</f>
        <v>875</v>
      </c>
      <c r="O30" s="165">
        <v>600</v>
      </c>
      <c r="P30" s="101">
        <v>1</v>
      </c>
      <c r="Q30" s="167" t="s">
        <v>155</v>
      </c>
      <c r="R30" s="168">
        <f>IFERROR(N30+IF(ISNUMBER(O30),O30,0)+IF(ISNUMBER(P30),P30,0),"")</f>
        <v>1476</v>
      </c>
      <c r="S30" s="169" t="s">
        <v>131</v>
      </c>
      <c r="T30"/>
      <c r="U30"/>
      <c r="V30"/>
      <c r="W30"/>
      <c r="X30"/>
      <c r="Y30"/>
      <c r="Z30"/>
    </row>
    <row r="31" spans="1:26" ht="24" customHeight="1">
      <c r="A31" s="162" t="s">
        <v>226</v>
      </c>
      <c r="B31" s="163" t="s">
        <v>376</v>
      </c>
      <c r="C31" s="163" t="s">
        <v>268</v>
      </c>
      <c r="D31" s="163" t="s">
        <v>227</v>
      </c>
      <c r="E31" s="163" t="s">
        <v>17</v>
      </c>
      <c r="F31" s="163" t="s">
        <v>199</v>
      </c>
      <c r="G31" s="164">
        <v>2</v>
      </c>
      <c r="H31" s="165">
        <v>50</v>
      </c>
      <c r="I31" s="165">
        <v>35</v>
      </c>
      <c r="J31" s="165">
        <v>125</v>
      </c>
      <c r="K31" s="165">
        <v>280</v>
      </c>
      <c r="L31" s="165">
        <v>150</v>
      </c>
      <c r="M31" s="165">
        <v>50</v>
      </c>
      <c r="N31" s="166">
        <f>SUM(H31:M31)</f>
        <v>690</v>
      </c>
      <c r="O31" s="165">
        <v>600</v>
      </c>
      <c r="P31" s="101">
        <v>1</v>
      </c>
      <c r="Q31" s="167" t="s">
        <v>156</v>
      </c>
      <c r="R31" s="168">
        <f>IFERROR(N31+IF(ISNUMBER(O31),O31,0)+IF(ISNUMBER(P31),P31,0),"")</f>
        <v>1291</v>
      </c>
      <c r="S31" s="169" t="s">
        <v>131</v>
      </c>
      <c r="T31"/>
      <c r="U31"/>
      <c r="V31"/>
      <c r="W31"/>
      <c r="X31"/>
      <c r="Y31"/>
      <c r="Z31"/>
    </row>
    <row r="32" spans="1:26" ht="22" customHeight="1">
      <c r="A32" s="249" t="s">
        <v>481</v>
      </c>
      <c r="B32" s="250"/>
      <c r="C32" s="250"/>
      <c r="D32" s="250"/>
      <c r="E32" s="250"/>
      <c r="F32" s="250"/>
      <c r="G32" s="250"/>
      <c r="H32" s="250"/>
      <c r="I32" s="250"/>
      <c r="J32" s="250"/>
      <c r="K32" s="250"/>
      <c r="L32" s="250"/>
      <c r="M32" s="250"/>
      <c r="N32" s="250"/>
      <c r="O32" s="250"/>
      <c r="P32" s="250"/>
      <c r="Q32" s="250"/>
      <c r="R32" s="250"/>
      <c r="S32" s="251"/>
      <c r="T32"/>
      <c r="U32"/>
      <c r="V32"/>
      <c r="W32"/>
      <c r="X32"/>
      <c r="Y32"/>
      <c r="Z32"/>
    </row>
    <row r="33" spans="1:26" ht="24" customHeight="1">
      <c r="A33" s="78" t="s">
        <v>216</v>
      </c>
      <c r="B33" s="83" t="s">
        <v>271</v>
      </c>
      <c r="C33" s="83" t="s">
        <v>377</v>
      </c>
      <c r="D33" s="83" t="s">
        <v>17</v>
      </c>
      <c r="E33" s="83" t="s">
        <v>39</v>
      </c>
      <c r="F33" s="83" t="s">
        <v>199</v>
      </c>
      <c r="G33" s="68">
        <v>1</v>
      </c>
      <c r="H33" s="88">
        <v>70</v>
      </c>
      <c r="I33" s="88">
        <v>70</v>
      </c>
      <c r="J33" s="88">
        <v>140</v>
      </c>
      <c r="K33" s="88">
        <v>250</v>
      </c>
      <c r="L33" s="88">
        <v>10</v>
      </c>
      <c r="M33" s="88">
        <v>70</v>
      </c>
      <c r="N33" s="93">
        <f>SUM(H33:M33)</f>
        <v>610</v>
      </c>
      <c r="O33" s="88">
        <v>800</v>
      </c>
      <c r="P33" s="101">
        <v>650</v>
      </c>
      <c r="Q33" s="73" t="s">
        <v>155</v>
      </c>
      <c r="R33" s="98">
        <f>IFERROR(N33+IF(ISNUMBER(O33),O33,0)+IF(ISNUMBER(P33),P33,0),"")</f>
        <v>2060</v>
      </c>
      <c r="S33" s="107" t="s">
        <v>385</v>
      </c>
      <c r="T33"/>
      <c r="U33"/>
      <c r="V33"/>
      <c r="W33"/>
      <c r="X33"/>
      <c r="Y33"/>
      <c r="Z33"/>
    </row>
    <row r="34" spans="1:26" ht="24" customHeight="1">
      <c r="A34" s="78" t="s">
        <v>273</v>
      </c>
      <c r="B34" s="83" t="s">
        <v>378</v>
      </c>
      <c r="C34" s="83" t="s">
        <v>379</v>
      </c>
      <c r="D34" s="83" t="s">
        <v>17</v>
      </c>
      <c r="E34" s="83" t="s">
        <v>39</v>
      </c>
      <c r="F34" s="83" t="s">
        <v>199</v>
      </c>
      <c r="G34" s="68">
        <v>3</v>
      </c>
      <c r="H34" s="88">
        <v>70</v>
      </c>
      <c r="I34" s="88">
        <v>70</v>
      </c>
      <c r="J34" s="88">
        <v>140</v>
      </c>
      <c r="K34" s="88">
        <v>250</v>
      </c>
      <c r="L34" s="88">
        <v>10</v>
      </c>
      <c r="M34" s="88">
        <v>70</v>
      </c>
      <c r="N34" s="93">
        <f>SUM(H34:M34)</f>
        <v>610</v>
      </c>
      <c r="O34" s="88">
        <v>800</v>
      </c>
      <c r="P34" s="101">
        <v>650</v>
      </c>
      <c r="Q34" s="73" t="s">
        <v>155</v>
      </c>
      <c r="R34" s="98">
        <f>IFERROR(N34+IF(ISNUMBER(O34),O34,0)+IF(ISNUMBER(P34),P34,0),"")</f>
        <v>2060</v>
      </c>
      <c r="S34" s="107" t="s">
        <v>385</v>
      </c>
      <c r="T34"/>
      <c r="U34"/>
      <c r="V34"/>
      <c r="W34"/>
      <c r="X34"/>
      <c r="Y34"/>
      <c r="Z34"/>
    </row>
    <row r="35" spans="1:26" ht="24" customHeight="1">
      <c r="A35" s="78" t="s">
        <v>218</v>
      </c>
      <c r="B35" s="83" t="s">
        <v>276</v>
      </c>
      <c r="C35" s="83" t="s">
        <v>377</v>
      </c>
      <c r="D35" s="83" t="s">
        <v>44</v>
      </c>
      <c r="E35" s="83" t="s">
        <v>39</v>
      </c>
      <c r="F35" s="83" t="s">
        <v>199</v>
      </c>
      <c r="G35" s="68">
        <v>0.5</v>
      </c>
      <c r="H35" s="88">
        <v>70</v>
      </c>
      <c r="I35" s="88">
        <v>70</v>
      </c>
      <c r="J35" s="88">
        <v>140</v>
      </c>
      <c r="K35" s="88">
        <v>420</v>
      </c>
      <c r="L35" s="88">
        <v>30</v>
      </c>
      <c r="M35" s="88">
        <v>70</v>
      </c>
      <c r="N35" s="93">
        <f>SUM(H35:M35)</f>
        <v>800</v>
      </c>
      <c r="O35" s="88">
        <v>800</v>
      </c>
      <c r="P35" s="101">
        <v>600</v>
      </c>
      <c r="Q35" s="73" t="s">
        <v>219</v>
      </c>
      <c r="R35" s="98">
        <f>IFERROR(N35+IF(ISNUMBER(O35),O35,0)+IF(ISNUMBER(P35),P35,0),"")</f>
        <v>2200</v>
      </c>
      <c r="S35" s="107" t="s">
        <v>142</v>
      </c>
      <c r="T35"/>
      <c r="U35"/>
      <c r="V35"/>
      <c r="W35"/>
      <c r="X35"/>
      <c r="Y35"/>
      <c r="Z35"/>
    </row>
    <row r="36" spans="1:26" ht="24" customHeight="1">
      <c r="A36" s="78" t="s">
        <v>220</v>
      </c>
      <c r="B36" s="83" t="s">
        <v>278</v>
      </c>
      <c r="C36" s="83" t="s">
        <v>379</v>
      </c>
      <c r="D36" s="83" t="s">
        <v>46</v>
      </c>
      <c r="E36" s="83" t="s">
        <v>39</v>
      </c>
      <c r="F36" s="83" t="s">
        <v>199</v>
      </c>
      <c r="G36" s="68">
        <v>0.5</v>
      </c>
      <c r="H36" s="88">
        <v>70</v>
      </c>
      <c r="I36" s="88">
        <v>70</v>
      </c>
      <c r="J36" s="88">
        <v>140</v>
      </c>
      <c r="K36" s="88">
        <v>420</v>
      </c>
      <c r="L36" s="88">
        <v>30</v>
      </c>
      <c r="M36" s="88">
        <v>70</v>
      </c>
      <c r="N36" s="93">
        <f>SUM(H36:M36)</f>
        <v>800</v>
      </c>
      <c r="O36" s="88">
        <v>800</v>
      </c>
      <c r="P36" s="101">
        <v>600</v>
      </c>
      <c r="Q36" s="73" t="s">
        <v>222</v>
      </c>
      <c r="R36" s="98">
        <f>IFERROR(N36+IF(ISNUMBER(O36),O36,0)+IF(ISNUMBER(P36),P36,0),"")</f>
        <v>2200</v>
      </c>
      <c r="S36" s="107" t="s">
        <v>140</v>
      </c>
      <c r="T36"/>
      <c r="U36"/>
      <c r="V36"/>
      <c r="W36"/>
      <c r="X36"/>
      <c r="Y36"/>
      <c r="Z36"/>
    </row>
    <row r="37" spans="1:26" ht="24" customHeight="1">
      <c r="A37" s="78" t="s">
        <v>223</v>
      </c>
      <c r="B37" s="83" t="s">
        <v>379</v>
      </c>
      <c r="C37" s="83" t="s">
        <v>380</v>
      </c>
      <c r="D37" s="83" t="s">
        <v>39</v>
      </c>
      <c r="E37" s="83" t="s">
        <v>79</v>
      </c>
      <c r="F37" s="83" t="s">
        <v>224</v>
      </c>
      <c r="G37" s="68">
        <v>6</v>
      </c>
      <c r="H37" s="88">
        <v>70</v>
      </c>
      <c r="I37" s="88">
        <v>70</v>
      </c>
      <c r="J37" s="88">
        <v>140</v>
      </c>
      <c r="K37" s="88">
        <v>300</v>
      </c>
      <c r="L37" s="88">
        <v>30</v>
      </c>
      <c r="M37" s="88">
        <v>70</v>
      </c>
      <c r="N37" s="93">
        <f>SUM(H37:M37)</f>
        <v>680</v>
      </c>
      <c r="O37" s="88">
        <v>2200</v>
      </c>
      <c r="P37" s="101">
        <v>3300</v>
      </c>
      <c r="Q37" s="73" t="s">
        <v>154</v>
      </c>
      <c r="R37" s="98">
        <f>IFERROR(N37+IF(ISNUMBER(O37),O37,0)+IF(ISNUMBER(P37),P37,0),"")</f>
        <v>6180</v>
      </c>
      <c r="S37" s="107" t="s">
        <v>142</v>
      </c>
      <c r="T37"/>
      <c r="U37"/>
      <c r="V37"/>
      <c r="W37"/>
      <c r="X37"/>
      <c r="Y37"/>
      <c r="Z37"/>
    </row>
    <row r="38" spans="1:26" ht="22" customHeight="1">
      <c r="A38" s="234" t="s">
        <v>482</v>
      </c>
      <c r="B38" s="235"/>
      <c r="C38" s="235"/>
      <c r="D38" s="235"/>
      <c r="E38" s="235"/>
      <c r="F38" s="235"/>
      <c r="G38" s="235"/>
      <c r="H38" s="235"/>
      <c r="I38" s="235"/>
      <c r="J38" s="235"/>
      <c r="K38" s="235"/>
      <c r="L38" s="235"/>
      <c r="M38" s="235"/>
      <c r="N38" s="235"/>
      <c r="O38" s="235"/>
      <c r="P38" s="235"/>
      <c r="Q38" s="235"/>
      <c r="R38" s="235"/>
      <c r="S38" s="236"/>
      <c r="T38"/>
      <c r="U38"/>
      <c r="V38"/>
      <c r="W38"/>
      <c r="X38"/>
      <c r="Y38"/>
      <c r="Z38"/>
    </row>
    <row r="39" spans="1:26" ht="24" customHeight="1">
      <c r="A39" s="79" t="s">
        <v>211</v>
      </c>
      <c r="B39" s="84" t="s">
        <v>268</v>
      </c>
      <c r="C39" s="84" t="s">
        <v>380</v>
      </c>
      <c r="D39" s="84" t="s">
        <v>17</v>
      </c>
      <c r="E39" s="84" t="s">
        <v>79</v>
      </c>
      <c r="F39" s="84" t="s">
        <v>199</v>
      </c>
      <c r="G39" s="69">
        <v>1</v>
      </c>
      <c r="H39" s="89">
        <v>70</v>
      </c>
      <c r="I39" s="89">
        <v>70</v>
      </c>
      <c r="J39" s="89">
        <v>140</v>
      </c>
      <c r="K39" s="89">
        <v>400</v>
      </c>
      <c r="L39" s="89">
        <v>10</v>
      </c>
      <c r="M39" s="89">
        <v>70</v>
      </c>
      <c r="N39" s="94">
        <f>SUM(H39:M39)</f>
        <v>760</v>
      </c>
      <c r="O39" s="89">
        <v>2200</v>
      </c>
      <c r="P39" s="101">
        <v>1800</v>
      </c>
      <c r="Q39" s="74" t="s">
        <v>153</v>
      </c>
      <c r="R39" s="99">
        <f>IFERROR(N39+IF(ISNUMBER(O39),O39,0)+IF(ISNUMBER(P39),P39,0),"")</f>
        <v>4760</v>
      </c>
      <c r="S39" s="108" t="s">
        <v>212</v>
      </c>
      <c r="T39"/>
      <c r="U39"/>
      <c r="V39"/>
      <c r="W39"/>
      <c r="X39"/>
      <c r="Y39"/>
      <c r="Z39"/>
    </row>
    <row r="40" spans="1:26" ht="24" customHeight="1">
      <c r="A40" s="79" t="s">
        <v>214</v>
      </c>
      <c r="B40" s="84" t="s">
        <v>381</v>
      </c>
      <c r="C40" s="84" t="s">
        <v>380</v>
      </c>
      <c r="D40" s="84" t="s">
        <v>29</v>
      </c>
      <c r="E40" s="84" t="s">
        <v>79</v>
      </c>
      <c r="F40" s="84" t="s">
        <v>199</v>
      </c>
      <c r="G40" s="69">
        <v>2</v>
      </c>
      <c r="H40" s="89">
        <v>70</v>
      </c>
      <c r="I40" s="89">
        <v>70</v>
      </c>
      <c r="J40" s="89">
        <v>140</v>
      </c>
      <c r="K40" s="89">
        <v>300</v>
      </c>
      <c r="L40" s="89">
        <v>250</v>
      </c>
      <c r="M40" s="89">
        <v>70</v>
      </c>
      <c r="N40" s="94">
        <f>SUM(H40:M40)</f>
        <v>900</v>
      </c>
      <c r="O40" s="89">
        <v>2200</v>
      </c>
      <c r="P40" s="101">
        <v>2100</v>
      </c>
      <c r="Q40" s="74" t="s">
        <v>151</v>
      </c>
      <c r="R40" s="99">
        <f>IFERROR(N40+IF(ISNUMBER(O40),O40,0)+IF(ISNUMBER(P40),P40,0),"")</f>
        <v>5200</v>
      </c>
      <c r="S40" s="108" t="s">
        <v>140</v>
      </c>
      <c r="T40"/>
      <c r="U40"/>
      <c r="V40"/>
      <c r="W40"/>
      <c r="X40"/>
      <c r="Y40"/>
      <c r="Z40"/>
    </row>
    <row r="41" spans="1:26" ht="24" customHeight="1" thickBot="1">
      <c r="A41" s="80" t="s">
        <v>215</v>
      </c>
      <c r="B41" s="85" t="s">
        <v>74</v>
      </c>
      <c r="C41" s="85" t="s">
        <v>380</v>
      </c>
      <c r="D41" s="85" t="s">
        <v>56</v>
      </c>
      <c r="E41" s="85" t="s">
        <v>79</v>
      </c>
      <c r="F41" s="85" t="s">
        <v>199</v>
      </c>
      <c r="G41" s="70">
        <v>0.5</v>
      </c>
      <c r="H41" s="90">
        <v>70</v>
      </c>
      <c r="I41" s="90">
        <v>70</v>
      </c>
      <c r="J41" s="90">
        <v>140</v>
      </c>
      <c r="K41" s="90">
        <v>300</v>
      </c>
      <c r="L41" s="90">
        <v>250</v>
      </c>
      <c r="M41" s="90">
        <v>70</v>
      </c>
      <c r="N41" s="95">
        <f>SUM(H41:M41)</f>
        <v>900</v>
      </c>
      <c r="O41" s="90">
        <v>2200</v>
      </c>
      <c r="P41" s="102">
        <v>2400</v>
      </c>
      <c r="Q41" s="75" t="s">
        <v>154</v>
      </c>
      <c r="R41" s="100">
        <f>IFERROR(N41+IF(ISNUMBER(O41),O41,0)+IF(ISNUMBER(P41),P41,0),"")</f>
        <v>5500</v>
      </c>
      <c r="S41" s="109" t="s">
        <v>140</v>
      </c>
      <c r="T41"/>
      <c r="U41"/>
      <c r="V41"/>
      <c r="W41"/>
      <c r="X41"/>
      <c r="Y41"/>
      <c r="Z41"/>
    </row>
    <row r="42" spans="1:26" ht="18" customHeight="1">
      <c r="A42"/>
      <c r="B42"/>
      <c r="C42"/>
      <c r="D42"/>
      <c r="E42"/>
      <c r="F42"/>
      <c r="G42"/>
      <c r="H42"/>
      <c r="I42"/>
      <c r="J42"/>
      <c r="K42"/>
      <c r="L42"/>
      <c r="M42"/>
      <c r="N42"/>
      <c r="O42"/>
      <c r="P42"/>
      <c r="Q42"/>
      <c r="R42"/>
      <c r="S42"/>
      <c r="T42"/>
      <c r="U42"/>
      <c r="V42"/>
      <c r="W42"/>
      <c r="X42"/>
      <c r="Y42"/>
      <c r="Z42"/>
    </row>
    <row r="43" spans="1:26">
      <c r="A43"/>
      <c r="B43"/>
      <c r="C43"/>
      <c r="D43"/>
      <c r="E43"/>
      <c r="F43"/>
      <c r="G43"/>
      <c r="H43"/>
      <c r="I43"/>
      <c r="J43"/>
      <c r="K43"/>
      <c r="L43"/>
      <c r="M43"/>
      <c r="N43"/>
      <c r="O43"/>
      <c r="P43"/>
      <c r="Q43"/>
      <c r="R43"/>
      <c r="S43"/>
      <c r="T43"/>
      <c r="U43"/>
      <c r="V43"/>
      <c r="W43"/>
      <c r="X43"/>
      <c r="Y43"/>
      <c r="Z43"/>
    </row>
    <row r="44" spans="1:26">
      <c r="A44"/>
      <c r="B44"/>
      <c r="C44"/>
      <c r="D44"/>
      <c r="E44"/>
      <c r="F44"/>
      <c r="G44"/>
      <c r="H44"/>
      <c r="I44"/>
      <c r="J44"/>
      <c r="K44"/>
      <c r="L44"/>
      <c r="M44"/>
      <c r="N44"/>
      <c r="O44"/>
      <c r="P44"/>
      <c r="Q44"/>
      <c r="R44"/>
      <c r="S44"/>
      <c r="T44"/>
      <c r="U44"/>
      <c r="V44"/>
      <c r="W44"/>
      <c r="X44"/>
      <c r="Y44"/>
      <c r="Z44"/>
    </row>
    <row r="45" spans="1:26">
      <c r="A45"/>
      <c r="B45"/>
      <c r="C45"/>
      <c r="D45"/>
      <c r="E45"/>
      <c r="F45"/>
      <c r="G45"/>
      <c r="H45"/>
      <c r="I45"/>
      <c r="J45"/>
      <c r="K45"/>
      <c r="L45"/>
      <c r="M45"/>
      <c r="N45"/>
      <c r="O45"/>
      <c r="P45"/>
      <c r="Q45"/>
      <c r="R45"/>
      <c r="S45"/>
      <c r="T45"/>
      <c r="U45"/>
      <c r="V45"/>
      <c r="W45"/>
      <c r="X45"/>
      <c r="Y45"/>
      <c r="Z45"/>
    </row>
    <row r="46" spans="1:26">
      <c r="A46"/>
      <c r="B46"/>
      <c r="C46"/>
      <c r="D46"/>
      <c r="E46"/>
      <c r="F46"/>
      <c r="G46"/>
      <c r="H46"/>
      <c r="I46"/>
      <c r="J46"/>
      <c r="K46"/>
      <c r="L46"/>
      <c r="M46"/>
      <c r="N46"/>
      <c r="O46"/>
      <c r="P46"/>
      <c r="Q46"/>
      <c r="R46"/>
      <c r="S46"/>
      <c r="T46"/>
      <c r="U46"/>
      <c r="V46"/>
      <c r="W46"/>
      <c r="X46"/>
      <c r="Y46"/>
      <c r="Z46"/>
    </row>
    <row r="47" spans="1:26">
      <c r="A47"/>
      <c r="B47"/>
      <c r="C47"/>
      <c r="D47"/>
      <c r="E47"/>
      <c r="F47"/>
      <c r="G47"/>
      <c r="H47"/>
      <c r="I47"/>
      <c r="J47"/>
      <c r="K47"/>
      <c r="L47"/>
      <c r="M47"/>
      <c r="N47"/>
      <c r="O47"/>
      <c r="P47"/>
      <c r="Q47"/>
      <c r="R47"/>
      <c r="S47"/>
      <c r="T47"/>
      <c r="U47"/>
      <c r="V47"/>
      <c r="W47"/>
      <c r="X47"/>
      <c r="Y47"/>
      <c r="Z47"/>
    </row>
    <row r="48" spans="1:26">
      <c r="A48"/>
      <c r="B48"/>
      <c r="C48"/>
      <c r="D48"/>
      <c r="E48"/>
      <c r="F48"/>
      <c r="G48"/>
      <c r="H48"/>
      <c r="I48"/>
      <c r="J48"/>
      <c r="K48"/>
      <c r="L48"/>
      <c r="M48"/>
      <c r="N48"/>
      <c r="O48"/>
      <c r="P48"/>
      <c r="Q48"/>
      <c r="R48"/>
      <c r="S48"/>
      <c r="T48"/>
      <c r="U48"/>
      <c r="V48"/>
      <c r="W48"/>
      <c r="X48"/>
      <c r="Y48"/>
      <c r="Z48"/>
    </row>
    <row r="49" spans="1:26">
      <c r="A49"/>
      <c r="B49"/>
      <c r="C49"/>
      <c r="D49"/>
      <c r="E49"/>
      <c r="F49"/>
      <c r="G49"/>
      <c r="H49"/>
      <c r="I49"/>
      <c r="J49"/>
      <c r="K49"/>
      <c r="L49"/>
      <c r="M49"/>
      <c r="N49"/>
      <c r="O49"/>
      <c r="P49"/>
      <c r="Q49"/>
      <c r="R49"/>
      <c r="S49"/>
      <c r="T49"/>
      <c r="U49"/>
      <c r="V49"/>
      <c r="W49"/>
      <c r="X49"/>
      <c r="Y49"/>
      <c r="Z49"/>
    </row>
    <row r="50" spans="1:26">
      <c r="A50"/>
      <c r="B50"/>
      <c r="C50"/>
      <c r="D50"/>
      <c r="E50"/>
      <c r="F50"/>
      <c r="G50"/>
      <c r="H50"/>
      <c r="I50"/>
      <c r="J50"/>
      <c r="K50"/>
      <c r="L50"/>
      <c r="M50"/>
      <c r="N50"/>
      <c r="O50"/>
      <c r="P50"/>
      <c r="Q50"/>
      <c r="R50"/>
      <c r="S50"/>
      <c r="T50"/>
      <c r="U50"/>
      <c r="V50"/>
      <c r="W50"/>
      <c r="X50"/>
      <c r="Y50"/>
      <c r="Z50"/>
    </row>
    <row r="51" spans="1:26">
      <c r="A51"/>
      <c r="B51"/>
      <c r="C51"/>
      <c r="D51"/>
      <c r="E51"/>
      <c r="F51"/>
      <c r="G51"/>
      <c r="H51"/>
      <c r="I51"/>
      <c r="J51"/>
      <c r="K51"/>
      <c r="L51"/>
      <c r="M51"/>
      <c r="N51"/>
      <c r="O51"/>
      <c r="P51"/>
      <c r="Q51"/>
      <c r="R51"/>
      <c r="S51"/>
      <c r="T51"/>
      <c r="U51"/>
      <c r="V51"/>
      <c r="W51"/>
      <c r="X51"/>
      <c r="Y51"/>
      <c r="Z51"/>
    </row>
    <row r="52" spans="1:26">
      <c r="A52"/>
      <c r="B52"/>
      <c r="C52"/>
      <c r="D52"/>
      <c r="E52"/>
      <c r="F52"/>
      <c r="G52"/>
      <c r="H52"/>
      <c r="I52"/>
      <c r="J52"/>
      <c r="K52"/>
      <c r="L52"/>
      <c r="M52"/>
      <c r="N52"/>
      <c r="O52"/>
      <c r="P52"/>
      <c r="Q52"/>
      <c r="R52"/>
      <c r="S52"/>
      <c r="T52"/>
      <c r="U52"/>
      <c r="V52"/>
      <c r="W52"/>
      <c r="X52"/>
      <c r="Y52"/>
      <c r="Z52"/>
    </row>
    <row r="53" spans="1:26">
      <c r="A53"/>
      <c r="B53"/>
      <c r="C53"/>
      <c r="D53"/>
      <c r="E53"/>
      <c r="F53"/>
      <c r="G53"/>
      <c r="H53"/>
      <c r="I53"/>
      <c r="J53"/>
      <c r="K53"/>
      <c r="L53"/>
      <c r="M53"/>
      <c r="N53"/>
      <c r="O53"/>
      <c r="P53"/>
      <c r="Q53"/>
      <c r="R53"/>
      <c r="S53"/>
      <c r="T53"/>
      <c r="U53"/>
      <c r="V53"/>
      <c r="W53"/>
      <c r="X53"/>
      <c r="Y53"/>
      <c r="Z53"/>
    </row>
    <row r="54" spans="1:26">
      <c r="A54"/>
      <c r="B54"/>
      <c r="C54"/>
      <c r="D54"/>
      <c r="E54"/>
      <c r="F54"/>
      <c r="G54"/>
      <c r="H54"/>
      <c r="I54"/>
      <c r="J54"/>
      <c r="K54"/>
      <c r="L54"/>
      <c r="M54"/>
      <c r="N54"/>
      <c r="O54"/>
      <c r="P54"/>
      <c r="Q54"/>
      <c r="R54"/>
      <c r="S54"/>
      <c r="T54"/>
      <c r="U54"/>
      <c r="V54"/>
      <c r="W54"/>
      <c r="X54"/>
      <c r="Y54"/>
      <c r="Z54"/>
    </row>
    <row r="55" spans="1:26">
      <c r="A55"/>
      <c r="B55"/>
      <c r="C55"/>
      <c r="D55"/>
      <c r="E55"/>
      <c r="F55"/>
      <c r="G55"/>
      <c r="H55"/>
      <c r="I55"/>
      <c r="J55"/>
      <c r="K55"/>
      <c r="L55"/>
      <c r="M55"/>
      <c r="N55"/>
      <c r="O55"/>
      <c r="P55"/>
      <c r="Q55"/>
      <c r="R55"/>
      <c r="S55"/>
      <c r="T55"/>
      <c r="U55"/>
      <c r="V55"/>
      <c r="W55"/>
      <c r="X55"/>
      <c r="Y55"/>
      <c r="Z55"/>
    </row>
    <row r="56" spans="1:26">
      <c r="A56"/>
      <c r="B56"/>
      <c r="C56"/>
      <c r="D56"/>
      <c r="E56"/>
      <c r="F56"/>
      <c r="G56"/>
      <c r="H56"/>
      <c r="I56"/>
      <c r="J56"/>
      <c r="K56"/>
      <c r="L56"/>
      <c r="M56"/>
      <c r="N56"/>
      <c r="O56"/>
      <c r="P56"/>
      <c r="Q56"/>
      <c r="R56"/>
      <c r="S56"/>
      <c r="T56"/>
      <c r="U56"/>
      <c r="V56"/>
      <c r="W56"/>
      <c r="X56"/>
      <c r="Y56"/>
      <c r="Z56"/>
    </row>
    <row r="57" spans="1:26">
      <c r="A57"/>
      <c r="B57"/>
      <c r="C57"/>
      <c r="D57"/>
      <c r="E57"/>
      <c r="F57"/>
      <c r="G57"/>
      <c r="H57"/>
      <c r="I57"/>
      <c r="J57"/>
      <c r="K57"/>
      <c r="L57"/>
      <c r="M57"/>
      <c r="N57"/>
      <c r="O57"/>
      <c r="P57"/>
      <c r="Q57"/>
      <c r="R57"/>
      <c r="S57"/>
      <c r="T57"/>
      <c r="U57"/>
      <c r="V57"/>
      <c r="W57"/>
      <c r="X57"/>
      <c r="Y57"/>
      <c r="Z57"/>
    </row>
    <row r="58" spans="1:26">
      <c r="A58"/>
      <c r="B58"/>
      <c r="C58"/>
      <c r="D58"/>
      <c r="E58"/>
      <c r="F58"/>
      <c r="G58"/>
      <c r="H58"/>
      <c r="I58"/>
      <c r="J58"/>
      <c r="K58"/>
      <c r="L58"/>
      <c r="M58"/>
      <c r="N58"/>
      <c r="O58"/>
      <c r="P58"/>
      <c r="Q58"/>
      <c r="R58"/>
      <c r="S58"/>
      <c r="T58"/>
      <c r="U58"/>
      <c r="V58"/>
      <c r="W58"/>
      <c r="X58"/>
      <c r="Y58"/>
      <c r="Z58"/>
    </row>
    <row r="59" spans="1:26">
      <c r="A59"/>
      <c r="B59"/>
      <c r="C59"/>
      <c r="D59"/>
      <c r="E59"/>
      <c r="F59"/>
      <c r="G59"/>
      <c r="H59"/>
      <c r="I59"/>
      <c r="J59"/>
      <c r="K59"/>
      <c r="L59"/>
      <c r="M59"/>
      <c r="N59"/>
      <c r="O59"/>
      <c r="P59"/>
      <c r="Q59"/>
      <c r="R59"/>
      <c r="S59"/>
      <c r="T59"/>
      <c r="U59"/>
      <c r="V59"/>
      <c r="W59"/>
      <c r="X59"/>
      <c r="Y59"/>
      <c r="Z59"/>
    </row>
    <row r="60" spans="1:26">
      <c r="A60"/>
      <c r="B60"/>
      <c r="C60"/>
      <c r="D60"/>
      <c r="E60"/>
      <c r="F60"/>
      <c r="G60"/>
      <c r="H60"/>
      <c r="I60"/>
      <c r="J60"/>
      <c r="K60"/>
      <c r="L60"/>
      <c r="M60"/>
      <c r="N60"/>
      <c r="O60"/>
      <c r="P60"/>
      <c r="Q60"/>
      <c r="R60"/>
      <c r="S60"/>
      <c r="T60"/>
      <c r="U60"/>
      <c r="V60"/>
      <c r="W60"/>
      <c r="X60"/>
      <c r="Y60"/>
      <c r="Z60"/>
    </row>
  </sheetData>
  <protectedRanges>
    <protectedRange sqref="S16:S17" name="区域1_1_2_2_1"/>
  </protectedRanges>
  <mergeCells count="6">
    <mergeCell ref="A38:S38"/>
    <mergeCell ref="A2:S2"/>
    <mergeCell ref="A5:S5"/>
    <mergeCell ref="A23:S23"/>
    <mergeCell ref="A29:S29"/>
    <mergeCell ref="A32:S32"/>
  </mergeCells>
  <phoneticPr fontId="29"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4F71A-D5DC-BF4A-AFF7-10743DE1D654}">
  <dimension ref="A1:S41"/>
  <sheetViews>
    <sheetView topLeftCell="E1" workbookViewId="0">
      <pane ySplit="1" topLeftCell="A9" activePane="bottomLeft" state="frozen"/>
      <selection pane="bottomLeft" activeCell="S3" sqref="S3"/>
    </sheetView>
  </sheetViews>
  <sheetFormatPr baseColWidth="10" defaultRowHeight="15"/>
  <cols>
    <col min="1" max="1" width="21.6640625" customWidth="1"/>
    <col min="2" max="3" width="26.6640625" customWidth="1"/>
    <col min="4" max="5" width="11.6640625" customWidth="1"/>
    <col min="6" max="6" width="10" customWidth="1"/>
    <col min="7" max="7" width="10.83203125" customWidth="1"/>
    <col min="8" max="8" width="9.1640625" customWidth="1"/>
    <col min="9" max="9" width="8.33203125" customWidth="1"/>
    <col min="10" max="10" width="9.1640625" customWidth="1"/>
    <col min="11" max="12" width="10" customWidth="1"/>
    <col min="13" max="13" width="8.33203125" customWidth="1"/>
    <col min="14" max="14" width="12.5" customWidth="1"/>
    <col min="15" max="15" width="10.83203125" customWidth="1"/>
    <col min="16" max="16" width="11.6640625" customWidth="1"/>
    <col min="17" max="18" width="13.33203125" customWidth="1"/>
    <col min="19" max="19" width="14.1640625" customWidth="1"/>
  </cols>
  <sheetData>
    <row r="1" spans="1:19" ht="20" customHeight="1" thickBot="1">
      <c r="A1" s="389" t="s">
        <v>253</v>
      </c>
      <c r="B1" s="390" t="s">
        <v>1</v>
      </c>
      <c r="C1" s="390" t="s">
        <v>2</v>
      </c>
      <c r="D1" s="390" t="s">
        <v>254</v>
      </c>
      <c r="E1" s="390" t="s">
        <v>255</v>
      </c>
      <c r="F1" s="390" t="s">
        <v>190</v>
      </c>
      <c r="G1" s="391" t="s">
        <v>191</v>
      </c>
      <c r="H1" s="390" t="s">
        <v>256</v>
      </c>
      <c r="I1" s="390" t="s">
        <v>257</v>
      </c>
      <c r="J1" s="390" t="s">
        <v>258</v>
      </c>
      <c r="K1" s="390" t="s">
        <v>259</v>
      </c>
      <c r="L1" s="390" t="s">
        <v>260</v>
      </c>
      <c r="M1" s="390" t="s">
        <v>261</v>
      </c>
      <c r="N1" s="390" t="s">
        <v>291</v>
      </c>
      <c r="O1" s="390" t="s">
        <v>292</v>
      </c>
      <c r="P1" s="392" t="s">
        <v>262</v>
      </c>
      <c r="Q1" s="390" t="s">
        <v>263</v>
      </c>
      <c r="R1" s="390" t="s">
        <v>264</v>
      </c>
      <c r="S1" s="393" t="s">
        <v>293</v>
      </c>
    </row>
    <row r="2" spans="1:19" ht="22" customHeight="1">
      <c r="A2" s="386" t="s">
        <v>554</v>
      </c>
      <c r="B2" s="387"/>
      <c r="C2" s="387"/>
      <c r="D2" s="387"/>
      <c r="E2" s="387"/>
      <c r="F2" s="387"/>
      <c r="G2" s="387"/>
      <c r="H2" s="387"/>
      <c r="I2" s="387"/>
      <c r="J2" s="387"/>
      <c r="K2" s="387"/>
      <c r="L2" s="387"/>
      <c r="M2" s="387"/>
      <c r="N2" s="387"/>
      <c r="O2" s="387"/>
      <c r="P2" s="387"/>
      <c r="Q2" s="387"/>
      <c r="R2" s="387"/>
      <c r="S2" s="388"/>
    </row>
    <row r="3" spans="1:19" ht="24" customHeight="1">
      <c r="A3" s="362" t="s">
        <v>192</v>
      </c>
      <c r="B3" s="313" t="s">
        <v>268</v>
      </c>
      <c r="C3" s="313" t="s">
        <v>269</v>
      </c>
      <c r="D3" s="313" t="s">
        <v>17</v>
      </c>
      <c r="E3" s="313" t="s">
        <v>31</v>
      </c>
      <c r="F3" s="313" t="s">
        <v>194</v>
      </c>
      <c r="G3" s="314" t="s">
        <v>547</v>
      </c>
      <c r="H3" s="315">
        <v>70</v>
      </c>
      <c r="I3" s="315">
        <v>70</v>
      </c>
      <c r="J3" s="315">
        <v>140</v>
      </c>
      <c r="K3" s="315">
        <v>400</v>
      </c>
      <c r="L3" s="315">
        <v>10</v>
      </c>
      <c r="M3" s="315">
        <v>70</v>
      </c>
      <c r="N3" s="316">
        <f>SUM(H3:M3)</f>
        <v>760</v>
      </c>
      <c r="O3" s="315">
        <v>950</v>
      </c>
      <c r="P3" s="317">
        <v>3350</v>
      </c>
      <c r="Q3" s="318" t="s">
        <v>195</v>
      </c>
      <c r="R3" s="319">
        <f>IFERROR(N3+IF(ISNUMBER(O3),O3,0)+IF(ISNUMBER(P3),P3,0),"")</f>
        <v>5060</v>
      </c>
      <c r="S3" s="374" t="s">
        <v>548</v>
      </c>
    </row>
    <row r="4" spans="1:19" ht="24" customHeight="1">
      <c r="A4" s="362" t="s">
        <v>198</v>
      </c>
      <c r="B4" s="313" t="s">
        <v>270</v>
      </c>
      <c r="C4" s="313" t="s">
        <v>269</v>
      </c>
      <c r="D4" s="313" t="s">
        <v>17</v>
      </c>
      <c r="E4" s="313" t="s">
        <v>31</v>
      </c>
      <c r="F4" s="313" t="s">
        <v>199</v>
      </c>
      <c r="G4" s="314" t="s">
        <v>549</v>
      </c>
      <c r="H4" s="315">
        <v>70</v>
      </c>
      <c r="I4" s="315">
        <v>70</v>
      </c>
      <c r="J4" s="315">
        <v>170</v>
      </c>
      <c r="K4" s="315">
        <v>250</v>
      </c>
      <c r="L4" s="315">
        <v>50</v>
      </c>
      <c r="M4" s="315">
        <v>50</v>
      </c>
      <c r="N4" s="316">
        <f>SUM(H4:M4)</f>
        <v>660</v>
      </c>
      <c r="O4" s="315">
        <v>950</v>
      </c>
      <c r="P4" s="317">
        <v>4925</v>
      </c>
      <c r="Q4" s="318" t="s">
        <v>200</v>
      </c>
      <c r="R4" s="319">
        <f>IFERROR(N4+IF(ISNUMBER(O4),O4,0)+IF(ISNUMBER(P4),P4,0),"")</f>
        <v>6535</v>
      </c>
      <c r="S4" s="374" t="s">
        <v>141</v>
      </c>
    </row>
    <row r="5" spans="1:19" ht="22" customHeight="1">
      <c r="A5" s="363" t="str">
        <f>_xlfn.CONCAT("AIMX   |   Mexico (Manzanillo)   |   17 条航线   |   两周需求 ", TEXT(SUM(G6:G22),"0.0")," HQ40")</f>
        <v>AIMX   |   Mexico (Manzanillo)   |   17 条航线   |   两周需求 18.0 HQ40</v>
      </c>
      <c r="B5" s="320"/>
      <c r="C5" s="320"/>
      <c r="D5" s="320"/>
      <c r="E5" s="320"/>
      <c r="F5" s="320"/>
      <c r="G5" s="320"/>
      <c r="H5" s="320"/>
      <c r="I5" s="320"/>
      <c r="J5" s="320"/>
      <c r="K5" s="320"/>
      <c r="L5" s="320"/>
      <c r="M5" s="320"/>
      <c r="N5" s="320"/>
      <c r="O5" s="320"/>
      <c r="P5" s="320"/>
      <c r="Q5" s="320"/>
      <c r="R5" s="320"/>
      <c r="S5" s="375"/>
    </row>
    <row r="6" spans="1:19" ht="24" customHeight="1">
      <c r="A6" s="364" t="s">
        <v>228</v>
      </c>
      <c r="B6" s="321" t="s">
        <v>40</v>
      </c>
      <c r="C6" s="321" t="s">
        <v>229</v>
      </c>
      <c r="D6" s="321" t="s">
        <v>39</v>
      </c>
      <c r="E6" s="321" t="s">
        <v>105</v>
      </c>
      <c r="F6" s="321" t="s">
        <v>230</v>
      </c>
      <c r="G6" s="322">
        <v>4</v>
      </c>
      <c r="H6" s="323">
        <v>70</v>
      </c>
      <c r="I6" s="323">
        <v>50</v>
      </c>
      <c r="J6" s="323">
        <v>260</v>
      </c>
      <c r="K6" s="323">
        <v>250</v>
      </c>
      <c r="L6" s="323">
        <v>90</v>
      </c>
      <c r="M6" s="323">
        <v>80</v>
      </c>
      <c r="N6" s="324">
        <f>SUM(H6:M6)</f>
        <v>800</v>
      </c>
      <c r="O6" s="323" t="s">
        <v>169</v>
      </c>
      <c r="P6" s="317">
        <v>2590</v>
      </c>
      <c r="Q6" s="325" t="s">
        <v>265</v>
      </c>
      <c r="R6" s="326">
        <f>IFERROR(N6+IF(ISNUMBER(O6),O6,0)+IF(ISNUMBER(P6),P6,0),"")</f>
        <v>3390</v>
      </c>
      <c r="S6" s="376" t="s">
        <v>142</v>
      </c>
    </row>
    <row r="7" spans="1:19" ht="24" customHeight="1">
      <c r="A7" s="364" t="s">
        <v>231</v>
      </c>
      <c r="B7" s="321" t="s">
        <v>232</v>
      </c>
      <c r="C7" s="321" t="s">
        <v>233</v>
      </c>
      <c r="D7" s="321" t="s">
        <v>56</v>
      </c>
      <c r="E7" s="321" t="s">
        <v>105</v>
      </c>
      <c r="F7" s="321" t="s">
        <v>230</v>
      </c>
      <c r="G7" s="322">
        <v>2</v>
      </c>
      <c r="H7" s="323">
        <v>70</v>
      </c>
      <c r="I7" s="323">
        <v>50</v>
      </c>
      <c r="J7" s="323">
        <v>260</v>
      </c>
      <c r="K7" s="323">
        <v>325</v>
      </c>
      <c r="L7" s="323">
        <v>90</v>
      </c>
      <c r="M7" s="323">
        <v>80</v>
      </c>
      <c r="N7" s="324">
        <f>SUM(H7:M7)</f>
        <v>875</v>
      </c>
      <c r="O7" s="323" t="s">
        <v>169</v>
      </c>
      <c r="P7" s="317">
        <v>2590</v>
      </c>
      <c r="Q7" s="325" t="s">
        <v>265</v>
      </c>
      <c r="R7" s="326">
        <f>IFERROR(N7+IF(ISNUMBER(O7),O7,0)+IF(ISNUMBER(P7),P7,0),"")</f>
        <v>3465</v>
      </c>
      <c r="S7" s="376" t="s">
        <v>142</v>
      </c>
    </row>
    <row r="8" spans="1:19" ht="24" customHeight="1">
      <c r="A8" s="364" t="s">
        <v>234</v>
      </c>
      <c r="B8" s="321" t="s">
        <v>94</v>
      </c>
      <c r="C8" s="321" t="s">
        <v>235</v>
      </c>
      <c r="D8" s="321" t="s">
        <v>39</v>
      </c>
      <c r="E8" s="321" t="s">
        <v>105</v>
      </c>
      <c r="F8" s="321" t="s">
        <v>230</v>
      </c>
      <c r="G8" s="322">
        <v>1</v>
      </c>
      <c r="H8" s="323">
        <v>70</v>
      </c>
      <c r="I8" s="323">
        <v>50</v>
      </c>
      <c r="J8" s="323">
        <v>260</v>
      </c>
      <c r="K8" s="323">
        <v>250</v>
      </c>
      <c r="L8" s="323">
        <v>90</v>
      </c>
      <c r="M8" s="323">
        <v>80</v>
      </c>
      <c r="N8" s="324">
        <f>SUM(H8:M8)</f>
        <v>800</v>
      </c>
      <c r="O8" s="323" t="s">
        <v>169</v>
      </c>
      <c r="P8" s="317">
        <v>2590</v>
      </c>
      <c r="Q8" s="325" t="s">
        <v>265</v>
      </c>
      <c r="R8" s="326">
        <f>IFERROR(N8+IF(ISNUMBER(O8),O8,0)+IF(ISNUMBER(P8),P8,0),"")</f>
        <v>3390</v>
      </c>
      <c r="S8" s="376" t="s">
        <v>142</v>
      </c>
    </row>
    <row r="9" spans="1:19" ht="24" customHeight="1">
      <c r="A9" s="364" t="s">
        <v>236</v>
      </c>
      <c r="B9" s="321" t="s">
        <v>102</v>
      </c>
      <c r="C9" s="321" t="s">
        <v>233</v>
      </c>
      <c r="D9" s="321" t="s">
        <v>29</v>
      </c>
      <c r="E9" s="321" t="s">
        <v>105</v>
      </c>
      <c r="F9" s="321" t="s">
        <v>230</v>
      </c>
      <c r="G9" s="322">
        <v>1</v>
      </c>
      <c r="H9" s="323">
        <v>70</v>
      </c>
      <c r="I9" s="323">
        <v>80</v>
      </c>
      <c r="J9" s="323">
        <v>160</v>
      </c>
      <c r="K9" s="323">
        <v>1000</v>
      </c>
      <c r="L9" s="323">
        <v>50</v>
      </c>
      <c r="M9" s="323">
        <v>75</v>
      </c>
      <c r="N9" s="324">
        <f>SUM(H9:M9)</f>
        <v>1435</v>
      </c>
      <c r="O9" s="323" t="s">
        <v>169</v>
      </c>
      <c r="P9" s="317">
        <v>3200</v>
      </c>
      <c r="Q9" s="325" t="s">
        <v>266</v>
      </c>
      <c r="R9" s="326">
        <f>IFERROR(N9+IF(ISNUMBER(O9),O9,0)+IF(ISNUMBER(P9),P9,0),"")</f>
        <v>4635</v>
      </c>
      <c r="S9" s="376" t="s">
        <v>302</v>
      </c>
    </row>
    <row r="10" spans="1:19" ht="24" customHeight="1">
      <c r="A10" s="364" t="s">
        <v>237</v>
      </c>
      <c r="B10" s="321" t="s">
        <v>103</v>
      </c>
      <c r="C10" s="321" t="s">
        <v>233</v>
      </c>
      <c r="D10" s="321" t="s">
        <v>227</v>
      </c>
      <c r="E10" s="321" t="s">
        <v>105</v>
      </c>
      <c r="F10" s="321" t="s">
        <v>230</v>
      </c>
      <c r="G10" s="322">
        <v>1</v>
      </c>
      <c r="H10" s="323">
        <v>70</v>
      </c>
      <c r="I10" s="323">
        <v>35</v>
      </c>
      <c r="J10" s="323">
        <v>145</v>
      </c>
      <c r="K10" s="323">
        <v>350</v>
      </c>
      <c r="L10" s="323">
        <v>150</v>
      </c>
      <c r="M10" s="323">
        <v>50</v>
      </c>
      <c r="N10" s="324">
        <f>SUM(H10:M10)</f>
        <v>800</v>
      </c>
      <c r="O10" s="323" t="s">
        <v>169</v>
      </c>
      <c r="P10" s="317">
        <v>2990</v>
      </c>
      <c r="Q10" s="325" t="s">
        <v>267</v>
      </c>
      <c r="R10" s="326">
        <f>IFERROR(N10+IF(ISNUMBER(O10),O10,0)+IF(ISNUMBER(P10),P10,0),"")</f>
        <v>3790</v>
      </c>
      <c r="S10" s="376" t="s">
        <v>142</v>
      </c>
    </row>
    <row r="11" spans="1:19" ht="24" customHeight="1">
      <c r="A11" s="364" t="s">
        <v>238</v>
      </c>
      <c r="B11" s="321" t="s">
        <v>82</v>
      </c>
      <c r="C11" s="321" t="s">
        <v>235</v>
      </c>
      <c r="D11" s="321" t="s">
        <v>17</v>
      </c>
      <c r="E11" s="321" t="s">
        <v>105</v>
      </c>
      <c r="F11" s="321" t="s">
        <v>239</v>
      </c>
      <c r="G11" s="322">
        <v>1</v>
      </c>
      <c r="H11" s="323">
        <v>70</v>
      </c>
      <c r="I11" s="323">
        <v>70</v>
      </c>
      <c r="J11" s="323">
        <v>145</v>
      </c>
      <c r="K11" s="323">
        <v>550</v>
      </c>
      <c r="L11" s="323">
        <v>15</v>
      </c>
      <c r="M11" s="323">
        <v>60</v>
      </c>
      <c r="N11" s="324">
        <f>SUM(H11:M11)</f>
        <v>910</v>
      </c>
      <c r="O11" s="323" t="s">
        <v>169</v>
      </c>
      <c r="P11" s="317">
        <v>2800</v>
      </c>
      <c r="Q11" s="325" t="s">
        <v>219</v>
      </c>
      <c r="R11" s="326">
        <f>IFERROR(N11+IF(ISNUMBER(O11),O11,0)+IF(ISNUMBER(P11),P11,0),"")</f>
        <v>3710</v>
      </c>
      <c r="S11" s="376" t="s">
        <v>141</v>
      </c>
    </row>
    <row r="12" spans="1:19" ht="24" customHeight="1">
      <c r="A12" s="364" t="s">
        <v>240</v>
      </c>
      <c r="B12" s="321" t="s">
        <v>83</v>
      </c>
      <c r="C12" s="321" t="s">
        <v>235</v>
      </c>
      <c r="D12" s="321" t="s">
        <v>17</v>
      </c>
      <c r="E12" s="321" t="s">
        <v>105</v>
      </c>
      <c r="F12" s="321" t="s">
        <v>230</v>
      </c>
      <c r="G12" s="322">
        <v>1</v>
      </c>
      <c r="H12" s="323">
        <v>70</v>
      </c>
      <c r="I12" s="323">
        <v>70</v>
      </c>
      <c r="J12" s="323">
        <v>145</v>
      </c>
      <c r="K12" s="323">
        <v>550</v>
      </c>
      <c r="L12" s="323">
        <v>15</v>
      </c>
      <c r="M12" s="323">
        <v>60</v>
      </c>
      <c r="N12" s="324">
        <f>SUM(H12:M12)</f>
        <v>910</v>
      </c>
      <c r="O12" s="323" t="s">
        <v>169</v>
      </c>
      <c r="P12" s="317">
        <v>2800</v>
      </c>
      <c r="Q12" s="325" t="s">
        <v>219</v>
      </c>
      <c r="R12" s="326">
        <f>IFERROR(N12+IF(ISNUMBER(O12),O12,0)+IF(ISNUMBER(P12),P12,0),"")</f>
        <v>3710</v>
      </c>
      <c r="S12" s="376" t="s">
        <v>141</v>
      </c>
    </row>
    <row r="13" spans="1:19" ht="24" customHeight="1">
      <c r="A13" s="364" t="s">
        <v>241</v>
      </c>
      <c r="B13" s="321" t="s">
        <v>84</v>
      </c>
      <c r="C13" s="321" t="s">
        <v>235</v>
      </c>
      <c r="D13" s="321" t="s">
        <v>17</v>
      </c>
      <c r="E13" s="321" t="s">
        <v>105</v>
      </c>
      <c r="F13" s="321" t="s">
        <v>230</v>
      </c>
      <c r="G13" s="322">
        <v>0.5</v>
      </c>
      <c r="H13" s="323">
        <v>70</v>
      </c>
      <c r="I13" s="323">
        <v>70</v>
      </c>
      <c r="J13" s="323">
        <v>145</v>
      </c>
      <c r="K13" s="323">
        <v>550</v>
      </c>
      <c r="L13" s="323">
        <v>15</v>
      </c>
      <c r="M13" s="323">
        <v>60</v>
      </c>
      <c r="N13" s="324">
        <f>SUM(H13:M13)</f>
        <v>910</v>
      </c>
      <c r="O13" s="323" t="s">
        <v>169</v>
      </c>
      <c r="P13" s="317">
        <v>2800</v>
      </c>
      <c r="Q13" s="325" t="s">
        <v>219</v>
      </c>
      <c r="R13" s="326">
        <f>IFERROR(N13+IF(ISNUMBER(O13),O13,0)+IF(ISNUMBER(P13),P13,0),"")</f>
        <v>3710</v>
      </c>
      <c r="S13" s="376" t="s">
        <v>141</v>
      </c>
    </row>
    <row r="14" spans="1:19" ht="24" customHeight="1">
      <c r="A14" s="364" t="s">
        <v>242</v>
      </c>
      <c r="B14" s="321" t="s">
        <v>85</v>
      </c>
      <c r="C14" s="321" t="s">
        <v>235</v>
      </c>
      <c r="D14" s="321" t="s">
        <v>17</v>
      </c>
      <c r="E14" s="321" t="s">
        <v>105</v>
      </c>
      <c r="F14" s="321" t="s">
        <v>230</v>
      </c>
      <c r="G14" s="322">
        <v>1</v>
      </c>
      <c r="H14" s="323">
        <v>70</v>
      </c>
      <c r="I14" s="323">
        <v>70</v>
      </c>
      <c r="J14" s="323">
        <v>145</v>
      </c>
      <c r="K14" s="323">
        <v>250</v>
      </c>
      <c r="L14" s="323">
        <v>15</v>
      </c>
      <c r="M14" s="323">
        <v>60</v>
      </c>
      <c r="N14" s="324">
        <f>SUM(H14:M14)</f>
        <v>610</v>
      </c>
      <c r="O14" s="323" t="s">
        <v>169</v>
      </c>
      <c r="P14" s="317">
        <v>2800</v>
      </c>
      <c r="Q14" s="325" t="s">
        <v>219</v>
      </c>
      <c r="R14" s="326">
        <f>IFERROR(N14+IF(ISNUMBER(O14),O14,0)+IF(ISNUMBER(P14),P14,0),"")</f>
        <v>3410</v>
      </c>
      <c r="S14" s="376" t="s">
        <v>141</v>
      </c>
    </row>
    <row r="15" spans="1:19" ht="24" customHeight="1">
      <c r="A15" s="364" t="s">
        <v>243</v>
      </c>
      <c r="B15" s="321" t="s">
        <v>86</v>
      </c>
      <c r="C15" s="321" t="s">
        <v>235</v>
      </c>
      <c r="D15" s="321" t="s">
        <v>17</v>
      </c>
      <c r="E15" s="321" t="s">
        <v>105</v>
      </c>
      <c r="F15" s="321" t="s">
        <v>230</v>
      </c>
      <c r="G15" s="322">
        <v>1</v>
      </c>
      <c r="H15" s="323">
        <v>70</v>
      </c>
      <c r="I15" s="323">
        <v>70</v>
      </c>
      <c r="J15" s="323">
        <v>145</v>
      </c>
      <c r="K15" s="323">
        <v>200</v>
      </c>
      <c r="L15" s="323">
        <v>15</v>
      </c>
      <c r="M15" s="323">
        <v>50</v>
      </c>
      <c r="N15" s="324">
        <f>SUM(H15:M15)</f>
        <v>550</v>
      </c>
      <c r="O15" s="323" t="s">
        <v>169</v>
      </c>
      <c r="P15" s="317">
        <v>2800</v>
      </c>
      <c r="Q15" s="325" t="s">
        <v>219</v>
      </c>
      <c r="R15" s="326">
        <f>IFERROR(N15+IF(ISNUMBER(O15),O15,0)+IF(ISNUMBER(P15),P15,0),"")</f>
        <v>3350</v>
      </c>
      <c r="S15" s="376" t="s">
        <v>141</v>
      </c>
    </row>
    <row r="16" spans="1:19" ht="24" customHeight="1">
      <c r="A16" s="364" t="s">
        <v>244</v>
      </c>
      <c r="B16" s="321" t="s">
        <v>87</v>
      </c>
      <c r="C16" s="321" t="s">
        <v>235</v>
      </c>
      <c r="D16" s="321" t="s">
        <v>17</v>
      </c>
      <c r="E16" s="321" t="s">
        <v>105</v>
      </c>
      <c r="F16" s="321" t="s">
        <v>230</v>
      </c>
      <c r="G16" s="322">
        <v>0.5</v>
      </c>
      <c r="H16" s="323">
        <v>70</v>
      </c>
      <c r="I16" s="323">
        <v>70</v>
      </c>
      <c r="J16" s="323">
        <v>145</v>
      </c>
      <c r="K16" s="323">
        <v>1550</v>
      </c>
      <c r="L16" s="323">
        <v>15</v>
      </c>
      <c r="M16" s="323">
        <v>60</v>
      </c>
      <c r="N16" s="324">
        <f>SUM(H16:M16)</f>
        <v>1910</v>
      </c>
      <c r="O16" s="323" t="s">
        <v>169</v>
      </c>
      <c r="P16" s="317">
        <v>2800</v>
      </c>
      <c r="Q16" s="325" t="s">
        <v>219</v>
      </c>
      <c r="R16" s="326">
        <f>IFERROR(N16+IF(ISNUMBER(O16),O16,0)+IF(ISNUMBER(P16),P16,0),"")</f>
        <v>4710</v>
      </c>
      <c r="S16" s="376" t="s">
        <v>141</v>
      </c>
    </row>
    <row r="17" spans="1:19" ht="24" customHeight="1">
      <c r="A17" s="364" t="s">
        <v>245</v>
      </c>
      <c r="B17" s="321" t="s">
        <v>97</v>
      </c>
      <c r="C17" s="321" t="s">
        <v>233</v>
      </c>
      <c r="D17" s="321" t="s">
        <v>17</v>
      </c>
      <c r="E17" s="321" t="s">
        <v>105</v>
      </c>
      <c r="F17" s="321" t="s">
        <v>230</v>
      </c>
      <c r="G17" s="322">
        <v>0</v>
      </c>
      <c r="H17" s="323">
        <v>70</v>
      </c>
      <c r="I17" s="323">
        <v>70</v>
      </c>
      <c r="J17" s="323">
        <v>145</v>
      </c>
      <c r="K17" s="323">
        <v>350</v>
      </c>
      <c r="L17" s="323">
        <v>15</v>
      </c>
      <c r="M17" s="323">
        <v>60</v>
      </c>
      <c r="N17" s="324">
        <f>SUM(H17:M17)</f>
        <v>710</v>
      </c>
      <c r="O17" s="323" t="s">
        <v>169</v>
      </c>
      <c r="P17" s="317">
        <v>2800</v>
      </c>
      <c r="Q17" s="325" t="s">
        <v>219</v>
      </c>
      <c r="R17" s="326">
        <f>IFERROR(N17+IF(ISNUMBER(O17),O17,0)+IF(ISNUMBER(P17),P17,0),"")</f>
        <v>3510</v>
      </c>
      <c r="S17" s="376" t="s">
        <v>141</v>
      </c>
    </row>
    <row r="18" spans="1:19" ht="24" customHeight="1">
      <c r="A18" s="364" t="s">
        <v>246</v>
      </c>
      <c r="B18" s="321" t="s">
        <v>247</v>
      </c>
      <c r="C18" s="321" t="s">
        <v>233</v>
      </c>
      <c r="D18" s="321" t="s">
        <v>44</v>
      </c>
      <c r="E18" s="321" t="s">
        <v>105</v>
      </c>
      <c r="F18" s="321" t="s">
        <v>230</v>
      </c>
      <c r="G18" s="322">
        <v>0</v>
      </c>
      <c r="H18" s="323">
        <v>70</v>
      </c>
      <c r="I18" s="323">
        <v>70</v>
      </c>
      <c r="J18" s="323">
        <v>145</v>
      </c>
      <c r="K18" s="323">
        <v>200</v>
      </c>
      <c r="L18" s="323">
        <v>15</v>
      </c>
      <c r="M18" s="323">
        <v>50</v>
      </c>
      <c r="N18" s="324">
        <f>SUM(H18:M18)</f>
        <v>550</v>
      </c>
      <c r="O18" s="323" t="s">
        <v>169</v>
      </c>
      <c r="P18" s="317">
        <v>3000</v>
      </c>
      <c r="Q18" s="325" t="s">
        <v>222</v>
      </c>
      <c r="R18" s="326">
        <f>IFERROR(N18+IF(ISNUMBER(O18),O18,0)+IF(ISNUMBER(P18),P18,0),"")</f>
        <v>3550</v>
      </c>
      <c r="S18" s="376" t="s">
        <v>141</v>
      </c>
    </row>
    <row r="19" spans="1:19" ht="24" customHeight="1">
      <c r="A19" s="364" t="s">
        <v>248</v>
      </c>
      <c r="B19" s="321" t="s">
        <v>98</v>
      </c>
      <c r="C19" s="321" t="s">
        <v>233</v>
      </c>
      <c r="D19" s="321" t="s">
        <v>17</v>
      </c>
      <c r="E19" s="321" t="s">
        <v>105</v>
      </c>
      <c r="F19" s="321" t="s">
        <v>239</v>
      </c>
      <c r="G19" s="322">
        <v>1</v>
      </c>
      <c r="H19" s="323">
        <v>70</v>
      </c>
      <c r="I19" s="323">
        <v>70</v>
      </c>
      <c r="J19" s="323">
        <v>145</v>
      </c>
      <c r="K19" s="323">
        <v>50</v>
      </c>
      <c r="L19" s="323">
        <v>15</v>
      </c>
      <c r="M19" s="323">
        <v>60</v>
      </c>
      <c r="N19" s="324">
        <f>SUM(H19:M19)</f>
        <v>410</v>
      </c>
      <c r="O19" s="323" t="s">
        <v>169</v>
      </c>
      <c r="P19" s="317">
        <v>2800</v>
      </c>
      <c r="Q19" s="325" t="s">
        <v>219</v>
      </c>
      <c r="R19" s="326">
        <f>IFERROR(N19+IF(ISNUMBER(O19),O19,0)+IF(ISNUMBER(P19),P19,0),"")</f>
        <v>3210</v>
      </c>
      <c r="S19" s="376" t="s">
        <v>141</v>
      </c>
    </row>
    <row r="20" spans="1:19" ht="24" customHeight="1">
      <c r="A20" s="364" t="s">
        <v>249</v>
      </c>
      <c r="B20" s="321" t="s">
        <v>250</v>
      </c>
      <c r="C20" s="321" t="s">
        <v>235</v>
      </c>
      <c r="D20" s="321" t="s">
        <v>17</v>
      </c>
      <c r="E20" s="321" t="s">
        <v>105</v>
      </c>
      <c r="F20" s="321" t="s">
        <v>230</v>
      </c>
      <c r="G20" s="322">
        <v>1</v>
      </c>
      <c r="H20" s="323">
        <v>70</v>
      </c>
      <c r="I20" s="323">
        <v>70</v>
      </c>
      <c r="J20" s="323">
        <v>145</v>
      </c>
      <c r="K20" s="323">
        <v>550</v>
      </c>
      <c r="L20" s="323">
        <v>15</v>
      </c>
      <c r="M20" s="323">
        <v>60</v>
      </c>
      <c r="N20" s="324">
        <f>SUM(H20:M20)</f>
        <v>910</v>
      </c>
      <c r="O20" s="323" t="s">
        <v>169</v>
      </c>
      <c r="P20" s="317">
        <v>2800</v>
      </c>
      <c r="Q20" s="325" t="s">
        <v>219</v>
      </c>
      <c r="R20" s="326">
        <f>IFERROR(N20+IF(ISNUMBER(O20),O20,0)+IF(ISNUMBER(P20),P20,0),"")</f>
        <v>3710</v>
      </c>
      <c r="S20" s="376" t="s">
        <v>141</v>
      </c>
    </row>
    <row r="21" spans="1:19" ht="24" customHeight="1">
      <c r="A21" s="364" t="s">
        <v>251</v>
      </c>
      <c r="B21" s="321" t="s">
        <v>99</v>
      </c>
      <c r="C21" s="321" t="s">
        <v>233</v>
      </c>
      <c r="D21" s="321" t="s">
        <v>17</v>
      </c>
      <c r="E21" s="321" t="s">
        <v>105</v>
      </c>
      <c r="F21" s="321" t="s">
        <v>230</v>
      </c>
      <c r="G21" s="322">
        <v>1</v>
      </c>
      <c r="H21" s="323">
        <v>70</v>
      </c>
      <c r="I21" s="323">
        <v>70</v>
      </c>
      <c r="J21" s="323">
        <v>145</v>
      </c>
      <c r="K21" s="323">
        <v>550</v>
      </c>
      <c r="L21" s="323">
        <v>15</v>
      </c>
      <c r="M21" s="323">
        <v>60</v>
      </c>
      <c r="N21" s="324">
        <f>SUM(H21:M21)</f>
        <v>910</v>
      </c>
      <c r="O21" s="323" t="s">
        <v>169</v>
      </c>
      <c r="P21" s="317">
        <v>2800</v>
      </c>
      <c r="Q21" s="325" t="s">
        <v>219</v>
      </c>
      <c r="R21" s="326">
        <f>IFERROR(N21+IF(ISNUMBER(O21),O21,0)+IF(ISNUMBER(P21),P21,0),"")</f>
        <v>3710</v>
      </c>
      <c r="S21" s="376" t="s">
        <v>141</v>
      </c>
    </row>
    <row r="22" spans="1:19" ht="24" customHeight="1">
      <c r="A22" s="364" t="s">
        <v>252</v>
      </c>
      <c r="B22" s="321" t="s">
        <v>100</v>
      </c>
      <c r="C22" s="321" t="s">
        <v>233</v>
      </c>
      <c r="D22" s="321" t="s">
        <v>17</v>
      </c>
      <c r="E22" s="321" t="s">
        <v>105</v>
      </c>
      <c r="F22" s="321" t="s">
        <v>230</v>
      </c>
      <c r="G22" s="322">
        <v>1</v>
      </c>
      <c r="H22" s="323">
        <v>70</v>
      </c>
      <c r="I22" s="323">
        <v>70</v>
      </c>
      <c r="J22" s="323">
        <v>145</v>
      </c>
      <c r="K22" s="323">
        <v>1500</v>
      </c>
      <c r="L22" s="323">
        <v>15</v>
      </c>
      <c r="M22" s="323">
        <v>60</v>
      </c>
      <c r="N22" s="324">
        <f>SUM(H22:M22)</f>
        <v>1860</v>
      </c>
      <c r="O22" s="323" t="s">
        <v>169</v>
      </c>
      <c r="P22" s="317">
        <v>2800</v>
      </c>
      <c r="Q22" s="325" t="s">
        <v>219</v>
      </c>
      <c r="R22" s="326">
        <f>IFERROR(N22+IF(ISNUMBER(O22),O22,0)+IF(ISNUMBER(P22),P22,0),"")</f>
        <v>4660</v>
      </c>
      <c r="S22" s="376" t="s">
        <v>141</v>
      </c>
    </row>
    <row r="23" spans="1:19" ht="22" customHeight="1">
      <c r="A23" s="365" t="str">
        <f>_xlfn.CONCAT("AIUS   |   USA (HOU / Detroit / Savanna)   |   5 条航线   |   两周需求 ", TEXT(SUM(G24:G28),"0.0")," HQ40")</f>
        <v>AIUS   |   USA (HOU / Detroit / Savanna)   |   5 条航线   |   两周需求 5.0 HQ40</v>
      </c>
      <c r="B23" s="327"/>
      <c r="C23" s="327"/>
      <c r="D23" s="327"/>
      <c r="E23" s="327"/>
      <c r="F23" s="327"/>
      <c r="G23" s="327"/>
      <c r="H23" s="327"/>
      <c r="I23" s="327"/>
      <c r="J23" s="327"/>
      <c r="K23" s="327"/>
      <c r="L23" s="327"/>
      <c r="M23" s="327"/>
      <c r="N23" s="327"/>
      <c r="O23" s="327"/>
      <c r="P23" s="327"/>
      <c r="Q23" s="327"/>
      <c r="R23" s="327"/>
      <c r="S23" s="377"/>
    </row>
    <row r="24" spans="1:19" ht="24" customHeight="1">
      <c r="A24" s="366" t="s">
        <v>201</v>
      </c>
      <c r="B24" s="328" t="s">
        <v>268</v>
      </c>
      <c r="C24" s="328" t="s">
        <v>280</v>
      </c>
      <c r="D24" s="328" t="s">
        <v>17</v>
      </c>
      <c r="E24" s="328" t="s">
        <v>18</v>
      </c>
      <c r="F24" s="328" t="s">
        <v>199</v>
      </c>
      <c r="G24" s="329">
        <v>1</v>
      </c>
      <c r="H24" s="330">
        <v>70</v>
      </c>
      <c r="I24" s="330">
        <v>70</v>
      </c>
      <c r="J24" s="330">
        <v>140</v>
      </c>
      <c r="K24" s="330">
        <v>400</v>
      </c>
      <c r="L24" s="330">
        <v>10</v>
      </c>
      <c r="M24" s="330">
        <v>70</v>
      </c>
      <c r="N24" s="331">
        <f>SUM(H24:M24)</f>
        <v>760</v>
      </c>
      <c r="O24" s="330">
        <v>2685</v>
      </c>
      <c r="P24" s="317">
        <v>3590</v>
      </c>
      <c r="Q24" s="332" t="s">
        <v>151</v>
      </c>
      <c r="R24" s="333">
        <f>IFERROR(N24+IF(ISNUMBER(O24),O24,0)+IF(ISNUMBER(P24),P24,0),"")</f>
        <v>7035</v>
      </c>
      <c r="S24" s="378" t="s">
        <v>302</v>
      </c>
    </row>
    <row r="25" spans="1:19" ht="24" customHeight="1">
      <c r="A25" s="366" t="s">
        <v>204</v>
      </c>
      <c r="B25" s="328" t="s">
        <v>271</v>
      </c>
      <c r="C25" s="328" t="s">
        <v>281</v>
      </c>
      <c r="D25" s="328" t="s">
        <v>17</v>
      </c>
      <c r="E25" s="328" t="s">
        <v>23</v>
      </c>
      <c r="F25" s="328" t="s">
        <v>199</v>
      </c>
      <c r="G25" s="329">
        <v>1</v>
      </c>
      <c r="H25" s="330">
        <v>70</v>
      </c>
      <c r="I25" s="330">
        <v>70</v>
      </c>
      <c r="J25" s="330">
        <v>140</v>
      </c>
      <c r="K25" s="330">
        <v>250</v>
      </c>
      <c r="L25" s="330">
        <v>10</v>
      </c>
      <c r="M25" s="330">
        <v>70</v>
      </c>
      <c r="N25" s="331">
        <f>SUM(H25:M25)</f>
        <v>610</v>
      </c>
      <c r="O25" s="330">
        <v>885</v>
      </c>
      <c r="P25" s="317">
        <v>3969</v>
      </c>
      <c r="Q25" s="332"/>
      <c r="R25" s="333">
        <f>IFERROR(N25+IF(ISNUMBER(O25),O25,0)+IF(ISNUMBER(P25),P25,0),"")</f>
        <v>5464</v>
      </c>
      <c r="S25" s="378" t="s">
        <v>302</v>
      </c>
    </row>
    <row r="26" spans="1:19" ht="24" customHeight="1">
      <c r="A26" s="366" t="s">
        <v>205</v>
      </c>
      <c r="B26" s="328" t="s">
        <v>275</v>
      </c>
      <c r="C26" s="328" t="s">
        <v>282</v>
      </c>
      <c r="D26" s="328" t="s">
        <v>39</v>
      </c>
      <c r="E26" s="328" t="s">
        <v>27</v>
      </c>
      <c r="F26" s="328" t="s">
        <v>194</v>
      </c>
      <c r="G26" s="329">
        <v>1</v>
      </c>
      <c r="H26" s="330">
        <v>70</v>
      </c>
      <c r="I26" s="330">
        <v>70</v>
      </c>
      <c r="J26" s="330">
        <v>140</v>
      </c>
      <c r="K26" s="330">
        <v>300</v>
      </c>
      <c r="L26" s="330">
        <v>30</v>
      </c>
      <c r="M26" s="330">
        <v>70</v>
      </c>
      <c r="N26" s="331">
        <f>SUM(H26:M26)</f>
        <v>680</v>
      </c>
      <c r="O26" s="330">
        <v>2785</v>
      </c>
      <c r="P26" s="317">
        <v>3570</v>
      </c>
      <c r="Q26" s="332" t="s">
        <v>151</v>
      </c>
      <c r="R26" s="333">
        <f>IFERROR(N26+IF(ISNUMBER(O26),O26,0)+IF(ISNUMBER(P26),P26,0),"")</f>
        <v>7035</v>
      </c>
      <c r="S26" s="378" t="s">
        <v>302</v>
      </c>
    </row>
    <row r="27" spans="1:19" ht="24" customHeight="1">
      <c r="A27" s="366" t="s">
        <v>207</v>
      </c>
      <c r="B27" s="328" t="s">
        <v>283</v>
      </c>
      <c r="C27" s="328" t="s">
        <v>284</v>
      </c>
      <c r="D27" s="328" t="s">
        <v>29</v>
      </c>
      <c r="E27" s="328" t="s">
        <v>27</v>
      </c>
      <c r="F27" s="328" t="s">
        <v>194</v>
      </c>
      <c r="G27" s="329">
        <v>1</v>
      </c>
      <c r="H27" s="330">
        <v>70</v>
      </c>
      <c r="I27" s="330">
        <v>80</v>
      </c>
      <c r="J27" s="330">
        <v>160</v>
      </c>
      <c r="K27" s="330">
        <v>1000</v>
      </c>
      <c r="L27" s="330">
        <v>50</v>
      </c>
      <c r="M27" s="330">
        <v>75</v>
      </c>
      <c r="N27" s="331">
        <f>SUM(H27:M27)</f>
        <v>1435</v>
      </c>
      <c r="O27" s="330">
        <v>2785</v>
      </c>
      <c r="P27" s="317">
        <v>3088</v>
      </c>
      <c r="Q27" s="332" t="s">
        <v>208</v>
      </c>
      <c r="R27" s="333">
        <f>IFERROR(N27+IF(ISNUMBER(O27),O27,0)+IF(ISNUMBER(P27),P27,0),"")</f>
        <v>7308</v>
      </c>
      <c r="S27" s="378" t="s">
        <v>302</v>
      </c>
    </row>
    <row r="28" spans="1:19" ht="24" customHeight="1">
      <c r="A28" s="366" t="s">
        <v>209</v>
      </c>
      <c r="B28" s="328" t="s">
        <v>268</v>
      </c>
      <c r="C28" s="328" t="s">
        <v>284</v>
      </c>
      <c r="D28" s="328" t="s">
        <v>17</v>
      </c>
      <c r="E28" s="328" t="s">
        <v>27</v>
      </c>
      <c r="F28" s="328" t="s">
        <v>194</v>
      </c>
      <c r="G28" s="329">
        <v>1</v>
      </c>
      <c r="H28" s="330">
        <v>70</v>
      </c>
      <c r="I28" s="330">
        <v>70</v>
      </c>
      <c r="J28" s="330">
        <v>140</v>
      </c>
      <c r="K28" s="330">
        <v>400</v>
      </c>
      <c r="L28" s="330">
        <v>10</v>
      </c>
      <c r="M28" s="330">
        <v>70</v>
      </c>
      <c r="N28" s="331">
        <f>SUM(H28:M28)</f>
        <v>760</v>
      </c>
      <c r="O28" s="330">
        <v>2785</v>
      </c>
      <c r="P28" s="317">
        <v>3390</v>
      </c>
      <c r="Q28" s="332" t="s">
        <v>210</v>
      </c>
      <c r="R28" s="333">
        <f>IFERROR(N28+IF(ISNUMBER(O28),O28,0)+IF(ISNUMBER(P28),P28,0),"")</f>
        <v>6935</v>
      </c>
      <c r="S28" s="378" t="s">
        <v>302</v>
      </c>
    </row>
    <row r="29" spans="1:19" ht="22" customHeight="1">
      <c r="A29" s="367" t="str">
        <f>_xlfn.CONCAT("AISH   |   Asia → SHA (inbound)   |   2 条航线   |   两周需求 ", TEXT(SUM(G30:G31),"0.0")," HQ40")</f>
        <v>AISH   |   Asia → SHA (inbound)   |   2 条航线   |   两周需求 5.0 HQ40</v>
      </c>
      <c r="B29" s="334"/>
      <c r="C29" s="334"/>
      <c r="D29" s="334"/>
      <c r="E29" s="334"/>
      <c r="F29" s="334"/>
      <c r="G29" s="334"/>
      <c r="H29" s="334"/>
      <c r="I29" s="334"/>
      <c r="J29" s="334"/>
      <c r="K29" s="334"/>
      <c r="L29" s="334"/>
      <c r="M29" s="334"/>
      <c r="N29" s="334"/>
      <c r="O29" s="334"/>
      <c r="P29" s="334"/>
      <c r="Q29" s="334"/>
      <c r="R29" s="334"/>
      <c r="S29" s="379"/>
    </row>
    <row r="30" spans="1:19" ht="24" customHeight="1">
      <c r="A30" s="368" t="s">
        <v>225</v>
      </c>
      <c r="B30" s="335" t="s">
        <v>285</v>
      </c>
      <c r="C30" s="335" t="s">
        <v>286</v>
      </c>
      <c r="D30" s="335" t="s">
        <v>56</v>
      </c>
      <c r="E30" s="335" t="s">
        <v>17</v>
      </c>
      <c r="F30" s="335" t="s">
        <v>199</v>
      </c>
      <c r="G30" s="336">
        <v>2</v>
      </c>
      <c r="H30" s="337">
        <v>70</v>
      </c>
      <c r="I30" s="337">
        <v>50</v>
      </c>
      <c r="J30" s="337">
        <v>260</v>
      </c>
      <c r="K30" s="337">
        <v>325</v>
      </c>
      <c r="L30" s="337">
        <v>90</v>
      </c>
      <c r="M30" s="337">
        <v>80</v>
      </c>
      <c r="N30" s="338">
        <f>SUM(H30:M30)</f>
        <v>875</v>
      </c>
      <c r="O30" s="337">
        <v>600</v>
      </c>
      <c r="P30" s="317">
        <v>1</v>
      </c>
      <c r="Q30" s="339" t="s">
        <v>155</v>
      </c>
      <c r="R30" s="340">
        <f>IFERROR(N30+IF(ISNUMBER(O30),O30,0)+IF(ISNUMBER(P30),P30,0),"")</f>
        <v>1476</v>
      </c>
      <c r="S30" s="380" t="s">
        <v>131</v>
      </c>
    </row>
    <row r="31" spans="1:19" ht="24" customHeight="1">
      <c r="A31" s="368" t="s">
        <v>226</v>
      </c>
      <c r="B31" s="335" t="s">
        <v>287</v>
      </c>
      <c r="C31" s="335" t="s">
        <v>286</v>
      </c>
      <c r="D31" s="335" t="s">
        <v>227</v>
      </c>
      <c r="E31" s="335" t="s">
        <v>17</v>
      </c>
      <c r="F31" s="335" t="s">
        <v>199</v>
      </c>
      <c r="G31" s="336">
        <v>3</v>
      </c>
      <c r="H31" s="337">
        <v>50</v>
      </c>
      <c r="I31" s="337">
        <v>35</v>
      </c>
      <c r="J31" s="337">
        <v>125</v>
      </c>
      <c r="K31" s="337">
        <v>280</v>
      </c>
      <c r="L31" s="337">
        <v>150</v>
      </c>
      <c r="M31" s="337">
        <v>50</v>
      </c>
      <c r="N31" s="338">
        <f>SUM(H31:M31)</f>
        <v>690</v>
      </c>
      <c r="O31" s="337">
        <v>600</v>
      </c>
      <c r="P31" s="317">
        <v>1</v>
      </c>
      <c r="Q31" s="339" t="s">
        <v>156</v>
      </c>
      <c r="R31" s="340">
        <f>IFERROR(N31+IF(ISNUMBER(O31),O31,0)+IF(ISNUMBER(P31),P31,0),"")</f>
        <v>1291</v>
      </c>
      <c r="S31" s="380" t="s">
        <v>131</v>
      </c>
    </row>
    <row r="32" spans="1:19" ht="22" customHeight="1">
      <c r="A32" s="369" t="str">
        <f>_xlfn.CONCAT("AITH   |   Thailand (Laemchabang)   |   5 条航线   |   两周需求 ", TEXT(SUM(G33:G37),"0.0")," HQ40")</f>
        <v>AITH   |   Thailand (Laemchabang)   |   5 条航线   |   两周需求 5.0 HQ40</v>
      </c>
      <c r="B32" s="341"/>
      <c r="C32" s="341"/>
      <c r="D32" s="341"/>
      <c r="E32" s="341"/>
      <c r="F32" s="341"/>
      <c r="G32" s="341"/>
      <c r="H32" s="341"/>
      <c r="I32" s="341"/>
      <c r="J32" s="341"/>
      <c r="K32" s="341"/>
      <c r="L32" s="341"/>
      <c r="M32" s="341"/>
      <c r="N32" s="341"/>
      <c r="O32" s="341"/>
      <c r="P32" s="341"/>
      <c r="Q32" s="341"/>
      <c r="R32" s="341"/>
      <c r="S32" s="381"/>
    </row>
    <row r="33" spans="1:19" ht="24" customHeight="1">
      <c r="A33" s="370" t="s">
        <v>216</v>
      </c>
      <c r="B33" s="342" t="s">
        <v>271</v>
      </c>
      <c r="C33" s="342" t="s">
        <v>272</v>
      </c>
      <c r="D33" s="342" t="s">
        <v>17</v>
      </c>
      <c r="E33" s="342" t="s">
        <v>39</v>
      </c>
      <c r="F33" s="342" t="s">
        <v>199</v>
      </c>
      <c r="G33" s="343">
        <v>1</v>
      </c>
      <c r="H33" s="344">
        <v>70</v>
      </c>
      <c r="I33" s="344">
        <v>70</v>
      </c>
      <c r="J33" s="344">
        <v>140</v>
      </c>
      <c r="K33" s="344">
        <v>250</v>
      </c>
      <c r="L33" s="344">
        <v>10</v>
      </c>
      <c r="M33" s="344">
        <v>70</v>
      </c>
      <c r="N33" s="345">
        <f>SUM(H33:M33)</f>
        <v>610</v>
      </c>
      <c r="O33" s="344">
        <v>800</v>
      </c>
      <c r="P33" s="317">
        <v>890</v>
      </c>
      <c r="Q33" s="346" t="s">
        <v>155</v>
      </c>
      <c r="R33" s="347">
        <f>IFERROR(N33+IF(ISNUMBER(O33),O33,0)+IF(ISNUMBER(P33),P33,0),"")</f>
        <v>2300</v>
      </c>
      <c r="S33" s="382" t="s">
        <v>142</v>
      </c>
    </row>
    <row r="34" spans="1:19" ht="24" customHeight="1">
      <c r="A34" s="370" t="s">
        <v>273</v>
      </c>
      <c r="B34" s="342" t="s">
        <v>274</v>
      </c>
      <c r="C34" s="342" t="s">
        <v>275</v>
      </c>
      <c r="D34" s="342" t="s">
        <v>17</v>
      </c>
      <c r="E34" s="342" t="s">
        <v>39</v>
      </c>
      <c r="F34" s="342" t="s">
        <v>199</v>
      </c>
      <c r="G34" s="343">
        <v>1</v>
      </c>
      <c r="H34" s="344">
        <v>70</v>
      </c>
      <c r="I34" s="344">
        <v>70</v>
      </c>
      <c r="J34" s="344">
        <v>140</v>
      </c>
      <c r="K34" s="344">
        <v>250</v>
      </c>
      <c r="L34" s="344">
        <v>10</v>
      </c>
      <c r="M34" s="344">
        <v>70</v>
      </c>
      <c r="N34" s="345">
        <f>SUM(H34:M34)</f>
        <v>610</v>
      </c>
      <c r="O34" s="344">
        <v>800</v>
      </c>
      <c r="P34" s="317">
        <v>890</v>
      </c>
      <c r="Q34" s="346" t="s">
        <v>155</v>
      </c>
      <c r="R34" s="347">
        <f>IFERROR(N34+IF(ISNUMBER(O34),O34,0)+IF(ISNUMBER(P34),P34,0),"")</f>
        <v>2300</v>
      </c>
      <c r="S34" s="382" t="s">
        <v>142</v>
      </c>
    </row>
    <row r="35" spans="1:19" ht="24" customHeight="1">
      <c r="A35" s="370" t="s">
        <v>218</v>
      </c>
      <c r="B35" s="342" t="s">
        <v>276</v>
      </c>
      <c r="C35" s="342" t="s">
        <v>277</v>
      </c>
      <c r="D35" s="342" t="s">
        <v>44</v>
      </c>
      <c r="E35" s="342" t="s">
        <v>39</v>
      </c>
      <c r="F35" s="342" t="s">
        <v>199</v>
      </c>
      <c r="G35" s="343">
        <v>0</v>
      </c>
      <c r="H35" s="344">
        <v>70</v>
      </c>
      <c r="I35" s="344">
        <v>70</v>
      </c>
      <c r="J35" s="344">
        <v>140</v>
      </c>
      <c r="K35" s="344">
        <v>420</v>
      </c>
      <c r="L35" s="344">
        <v>30</v>
      </c>
      <c r="M35" s="344">
        <v>70</v>
      </c>
      <c r="N35" s="345">
        <f>SUM(H35:M35)</f>
        <v>800</v>
      </c>
      <c r="O35" s="344">
        <v>800</v>
      </c>
      <c r="P35" s="317">
        <v>940</v>
      </c>
      <c r="Q35" s="346" t="s">
        <v>219</v>
      </c>
      <c r="R35" s="347">
        <f>IFERROR(N35+IF(ISNUMBER(O35),O35,0)+IF(ISNUMBER(P35),P35,0),"")</f>
        <v>2540</v>
      </c>
      <c r="S35" s="382" t="s">
        <v>142</v>
      </c>
    </row>
    <row r="36" spans="1:19" ht="24" customHeight="1">
      <c r="A36" s="370" t="s">
        <v>220</v>
      </c>
      <c r="B36" s="342" t="s">
        <v>278</v>
      </c>
      <c r="C36" s="342" t="s">
        <v>275</v>
      </c>
      <c r="D36" s="342" t="s">
        <v>46</v>
      </c>
      <c r="E36" s="342" t="s">
        <v>39</v>
      </c>
      <c r="F36" s="342" t="s">
        <v>199</v>
      </c>
      <c r="G36" s="343">
        <v>0</v>
      </c>
      <c r="H36" s="344">
        <v>70</v>
      </c>
      <c r="I36" s="344">
        <v>70</v>
      </c>
      <c r="J36" s="344">
        <v>140</v>
      </c>
      <c r="K36" s="344">
        <v>420</v>
      </c>
      <c r="L36" s="344">
        <v>30</v>
      </c>
      <c r="M36" s="344">
        <v>70</v>
      </c>
      <c r="N36" s="345">
        <f>SUM(H36:M36)</f>
        <v>800</v>
      </c>
      <c r="O36" s="344">
        <v>800</v>
      </c>
      <c r="P36" s="317" t="s">
        <v>221</v>
      </c>
      <c r="Q36" s="346" t="s">
        <v>222</v>
      </c>
      <c r="R36" s="347">
        <f>IFERROR(N36+IF(ISNUMBER(O36),O36,0)+IF(ISNUMBER(P36),P36,0),"")</f>
        <v>1600</v>
      </c>
      <c r="S36" s="382" t="s">
        <v>221</v>
      </c>
    </row>
    <row r="37" spans="1:19" ht="24" customHeight="1">
      <c r="A37" s="370" t="s">
        <v>223</v>
      </c>
      <c r="B37" s="342" t="s">
        <v>275</v>
      </c>
      <c r="C37" s="342" t="s">
        <v>279</v>
      </c>
      <c r="D37" s="342" t="s">
        <v>39</v>
      </c>
      <c r="E37" s="342" t="s">
        <v>79</v>
      </c>
      <c r="F37" s="342" t="s">
        <v>224</v>
      </c>
      <c r="G37" s="343">
        <v>3</v>
      </c>
      <c r="H37" s="344">
        <v>70</v>
      </c>
      <c r="I37" s="344">
        <v>70</v>
      </c>
      <c r="J37" s="344">
        <v>140</v>
      </c>
      <c r="K37" s="344">
        <v>300</v>
      </c>
      <c r="L37" s="344">
        <v>30</v>
      </c>
      <c r="M37" s="344">
        <v>70</v>
      </c>
      <c r="N37" s="345">
        <f>SUM(H37:M37)</f>
        <v>680</v>
      </c>
      <c r="O37" s="344">
        <v>2200</v>
      </c>
      <c r="P37" s="317">
        <v>3870</v>
      </c>
      <c r="Q37" s="346" t="s">
        <v>154</v>
      </c>
      <c r="R37" s="347">
        <f>IFERROR(N37+IF(ISNUMBER(O37),O37,0)+IF(ISNUMBER(P37),P37,0),"")</f>
        <v>6750</v>
      </c>
      <c r="S37" s="382" t="s">
        <v>142</v>
      </c>
    </row>
    <row r="38" spans="1:19" ht="22" customHeight="1">
      <c r="A38" s="371" t="str">
        <f>_xlfn.CONCAT("AISK   |   Slovakia (Hamburg)   |   3 条航线   |   两周需求 ", TEXT(SUM(G39:G41),"0.0")," HQ40")</f>
        <v>AISK   |   Slovakia (Hamburg)   |   3 条航线   |   两周需求 2.0 HQ40</v>
      </c>
      <c r="B38" s="348"/>
      <c r="C38" s="348"/>
      <c r="D38" s="348"/>
      <c r="E38" s="348"/>
      <c r="F38" s="348"/>
      <c r="G38" s="348"/>
      <c r="H38" s="348"/>
      <c r="I38" s="348"/>
      <c r="J38" s="348"/>
      <c r="K38" s="348"/>
      <c r="L38" s="348"/>
      <c r="M38" s="348"/>
      <c r="N38" s="348"/>
      <c r="O38" s="348"/>
      <c r="P38" s="348"/>
      <c r="Q38" s="348"/>
      <c r="R38" s="348"/>
      <c r="S38" s="383"/>
    </row>
    <row r="39" spans="1:19" ht="24" customHeight="1">
      <c r="A39" s="372" t="s">
        <v>211</v>
      </c>
      <c r="B39" s="349" t="s">
        <v>286</v>
      </c>
      <c r="C39" s="349" t="s">
        <v>279</v>
      </c>
      <c r="D39" s="349" t="s">
        <v>17</v>
      </c>
      <c r="E39" s="349" t="s">
        <v>79</v>
      </c>
      <c r="F39" s="349" t="s">
        <v>199</v>
      </c>
      <c r="G39" s="350">
        <v>1</v>
      </c>
      <c r="H39" s="351">
        <v>70</v>
      </c>
      <c r="I39" s="351">
        <v>70</v>
      </c>
      <c r="J39" s="351">
        <v>140</v>
      </c>
      <c r="K39" s="351">
        <v>400</v>
      </c>
      <c r="L39" s="351">
        <v>10</v>
      </c>
      <c r="M39" s="351">
        <v>70</v>
      </c>
      <c r="N39" s="352">
        <f>SUM(H39:M39)</f>
        <v>760</v>
      </c>
      <c r="O39" s="351">
        <v>2200</v>
      </c>
      <c r="P39" s="317">
        <v>3090</v>
      </c>
      <c r="Q39" s="353" t="s">
        <v>153</v>
      </c>
      <c r="R39" s="354">
        <f>IFERROR(N39+IF(ISNUMBER(O39),O39,0)+IF(ISNUMBER(P39),P39,0),"")</f>
        <v>6050</v>
      </c>
      <c r="S39" s="384" t="s">
        <v>142</v>
      </c>
    </row>
    <row r="40" spans="1:19" ht="24" customHeight="1">
      <c r="A40" s="372" t="s">
        <v>214</v>
      </c>
      <c r="B40" s="349" t="s">
        <v>288</v>
      </c>
      <c r="C40" s="349" t="s">
        <v>289</v>
      </c>
      <c r="D40" s="349" t="s">
        <v>29</v>
      </c>
      <c r="E40" s="349" t="s">
        <v>79</v>
      </c>
      <c r="F40" s="349" t="s">
        <v>199</v>
      </c>
      <c r="G40" s="350">
        <v>1</v>
      </c>
      <c r="H40" s="351">
        <v>70</v>
      </c>
      <c r="I40" s="351">
        <v>70</v>
      </c>
      <c r="J40" s="351">
        <v>140</v>
      </c>
      <c r="K40" s="351">
        <v>300</v>
      </c>
      <c r="L40" s="351">
        <v>250</v>
      </c>
      <c r="M40" s="351">
        <v>70</v>
      </c>
      <c r="N40" s="352">
        <f>SUM(H40:M40)</f>
        <v>900</v>
      </c>
      <c r="O40" s="351">
        <v>2200</v>
      </c>
      <c r="P40" s="317" t="s">
        <v>221</v>
      </c>
      <c r="Q40" s="353" t="s">
        <v>151</v>
      </c>
      <c r="R40" s="354">
        <f>IFERROR(N40+IF(ISNUMBER(O40),O40,0)+IF(ISNUMBER(P40),P40,0),"")</f>
        <v>3100</v>
      </c>
      <c r="S40" s="384" t="s">
        <v>221</v>
      </c>
    </row>
    <row r="41" spans="1:19" ht="24" customHeight="1" thickBot="1">
      <c r="A41" s="373" t="s">
        <v>215</v>
      </c>
      <c r="B41" s="355" t="s">
        <v>290</v>
      </c>
      <c r="C41" s="355" t="s">
        <v>289</v>
      </c>
      <c r="D41" s="355" t="s">
        <v>56</v>
      </c>
      <c r="E41" s="355" t="s">
        <v>79</v>
      </c>
      <c r="F41" s="355" t="s">
        <v>199</v>
      </c>
      <c r="G41" s="356">
        <v>0</v>
      </c>
      <c r="H41" s="357">
        <v>70</v>
      </c>
      <c r="I41" s="357">
        <v>70</v>
      </c>
      <c r="J41" s="357">
        <v>140</v>
      </c>
      <c r="K41" s="357">
        <v>300</v>
      </c>
      <c r="L41" s="357">
        <v>250</v>
      </c>
      <c r="M41" s="357">
        <v>70</v>
      </c>
      <c r="N41" s="358">
        <f>SUM(H41:M41)</f>
        <v>900</v>
      </c>
      <c r="O41" s="357">
        <v>2200</v>
      </c>
      <c r="P41" s="359">
        <v>3870</v>
      </c>
      <c r="Q41" s="360" t="s">
        <v>154</v>
      </c>
      <c r="R41" s="361">
        <f>IFERROR(N41+IF(ISNUMBER(O41),O41,0)+IF(ISNUMBER(P41),P41,0),"")</f>
        <v>6970</v>
      </c>
      <c r="S41" s="385" t="s">
        <v>142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35B82-F3C8-1245-AE79-BDA7958B6B25}">
  <dimension ref="A1:S41"/>
  <sheetViews>
    <sheetView topLeftCell="D1" workbookViewId="0">
      <pane ySplit="1" topLeftCell="A11" activePane="bottomLeft" state="frozen"/>
      <selection pane="bottomLeft"/>
    </sheetView>
  </sheetViews>
  <sheetFormatPr baseColWidth="10" defaultRowHeight="15"/>
  <cols>
    <col min="1" max="1" width="21.6640625" customWidth="1"/>
    <col min="2" max="3" width="26.6640625" customWidth="1"/>
    <col min="4" max="5" width="11.6640625" customWidth="1"/>
    <col min="6" max="6" width="10" customWidth="1"/>
    <col min="7" max="7" width="10.83203125" customWidth="1"/>
    <col min="8" max="8" width="9.1640625" customWidth="1"/>
    <col min="9" max="9" width="8.33203125" customWidth="1"/>
    <col min="10" max="10" width="9.1640625" customWidth="1"/>
    <col min="11" max="12" width="10" customWidth="1"/>
    <col min="13" max="13" width="8.33203125" customWidth="1"/>
    <col min="14" max="14" width="12.5" customWidth="1"/>
    <col min="15" max="15" width="10.83203125" customWidth="1"/>
    <col min="16" max="16" width="11.6640625" customWidth="1"/>
    <col min="17" max="18" width="13.33203125" customWidth="1"/>
    <col min="19" max="19" width="14.1640625" customWidth="1"/>
  </cols>
  <sheetData>
    <row r="1" spans="1:19" ht="20" customHeight="1" thickBot="1">
      <c r="A1" s="389" t="s">
        <v>253</v>
      </c>
      <c r="B1" s="390" t="s">
        <v>1</v>
      </c>
      <c r="C1" s="390" t="s">
        <v>2</v>
      </c>
      <c r="D1" s="390" t="s">
        <v>254</v>
      </c>
      <c r="E1" s="390" t="s">
        <v>255</v>
      </c>
      <c r="F1" s="390" t="s">
        <v>190</v>
      </c>
      <c r="G1" s="391" t="s">
        <v>191</v>
      </c>
      <c r="H1" s="390" t="s">
        <v>256</v>
      </c>
      <c r="I1" s="390" t="s">
        <v>257</v>
      </c>
      <c r="J1" s="390" t="s">
        <v>258</v>
      </c>
      <c r="K1" s="390" t="s">
        <v>259</v>
      </c>
      <c r="L1" s="390" t="s">
        <v>260</v>
      </c>
      <c r="M1" s="390" t="s">
        <v>261</v>
      </c>
      <c r="N1" s="390" t="s">
        <v>291</v>
      </c>
      <c r="O1" s="390" t="s">
        <v>292</v>
      </c>
      <c r="P1" s="392" t="s">
        <v>262</v>
      </c>
      <c r="Q1" s="390" t="s">
        <v>263</v>
      </c>
      <c r="R1" s="390" t="s">
        <v>264</v>
      </c>
      <c r="S1" s="393" t="s">
        <v>293</v>
      </c>
    </row>
    <row r="2" spans="1:19" ht="22" customHeight="1">
      <c r="A2" s="386" t="s">
        <v>555</v>
      </c>
      <c r="B2" s="387"/>
      <c r="C2" s="387"/>
      <c r="D2" s="387"/>
      <c r="E2" s="387"/>
      <c r="F2" s="387"/>
      <c r="G2" s="387"/>
      <c r="H2" s="387"/>
      <c r="I2" s="387"/>
      <c r="J2" s="387"/>
      <c r="K2" s="387"/>
      <c r="L2" s="387"/>
      <c r="M2" s="387"/>
      <c r="N2" s="387"/>
      <c r="O2" s="387"/>
      <c r="P2" s="387"/>
      <c r="Q2" s="387"/>
      <c r="R2" s="387"/>
      <c r="S2" s="388"/>
    </row>
    <row r="3" spans="1:19" ht="24" customHeight="1">
      <c r="A3" s="362" t="s">
        <v>192</v>
      </c>
      <c r="B3" s="313" t="s">
        <v>268</v>
      </c>
      <c r="C3" s="313" t="s">
        <v>269</v>
      </c>
      <c r="D3" s="313" t="s">
        <v>17</v>
      </c>
      <c r="E3" s="313" t="s">
        <v>31</v>
      </c>
      <c r="F3" s="313" t="s">
        <v>194</v>
      </c>
      <c r="G3" s="314" t="s">
        <v>547</v>
      </c>
      <c r="H3" s="315">
        <v>70</v>
      </c>
      <c r="I3" s="315">
        <v>70</v>
      </c>
      <c r="J3" s="315">
        <v>140</v>
      </c>
      <c r="K3" s="315">
        <v>400</v>
      </c>
      <c r="L3" s="315">
        <v>10</v>
      </c>
      <c r="M3" s="315">
        <v>70</v>
      </c>
      <c r="N3" s="316">
        <f>SUM(H3:M3)</f>
        <v>760</v>
      </c>
      <c r="O3" s="315">
        <v>950</v>
      </c>
      <c r="P3" s="317">
        <v>2745</v>
      </c>
      <c r="Q3" s="318" t="s">
        <v>195</v>
      </c>
      <c r="R3" s="319">
        <f>IFERROR(N3+IF(ISNUMBER(O3),O3,0)+IF(ISNUMBER(P3),P3,0),"")</f>
        <v>4455</v>
      </c>
      <c r="S3" s="374" t="s">
        <v>550</v>
      </c>
    </row>
    <row r="4" spans="1:19" ht="24" customHeight="1">
      <c r="A4" s="362" t="s">
        <v>198</v>
      </c>
      <c r="B4" s="313" t="s">
        <v>270</v>
      </c>
      <c r="C4" s="313" t="s">
        <v>269</v>
      </c>
      <c r="D4" s="313" t="s">
        <v>17</v>
      </c>
      <c r="E4" s="313" t="s">
        <v>31</v>
      </c>
      <c r="F4" s="313" t="s">
        <v>199</v>
      </c>
      <c r="G4" s="314" t="s">
        <v>551</v>
      </c>
      <c r="H4" s="315">
        <v>70</v>
      </c>
      <c r="I4" s="315">
        <v>70</v>
      </c>
      <c r="J4" s="315">
        <v>170</v>
      </c>
      <c r="K4" s="315">
        <v>250</v>
      </c>
      <c r="L4" s="315">
        <v>50</v>
      </c>
      <c r="M4" s="315">
        <v>50</v>
      </c>
      <c r="N4" s="316">
        <f>SUM(H4:M4)</f>
        <v>660</v>
      </c>
      <c r="O4" s="315">
        <v>950</v>
      </c>
      <c r="P4" s="317">
        <v>4400</v>
      </c>
      <c r="Q4" s="318" t="s">
        <v>200</v>
      </c>
      <c r="R4" s="319">
        <f>IFERROR(N4+IF(ISNUMBER(O4),O4,0)+IF(ISNUMBER(P4),P4,0),"")</f>
        <v>6010</v>
      </c>
      <c r="S4" s="374" t="s">
        <v>552</v>
      </c>
    </row>
    <row r="5" spans="1:19" ht="22" customHeight="1">
      <c r="A5" s="363" t="str">
        <f>_xlfn.CONCAT("AIMX   |   Mexico (Manzanillo)   |   17 条航线   |   两周需求 ", TEXT(SUM(G6:G22),"0.0")," HQ40")</f>
        <v>AIMX   |   Mexico (Manzanillo)   |   17 条航线   |   两周需求 17.0 HQ40</v>
      </c>
      <c r="B5" s="320"/>
      <c r="C5" s="320"/>
      <c r="D5" s="320"/>
      <c r="E5" s="320"/>
      <c r="F5" s="320"/>
      <c r="G5" s="320"/>
      <c r="H5" s="320"/>
      <c r="I5" s="320"/>
      <c r="J5" s="320"/>
      <c r="K5" s="320"/>
      <c r="L5" s="320"/>
      <c r="M5" s="320"/>
      <c r="N5" s="320"/>
      <c r="O5" s="320"/>
      <c r="P5" s="320"/>
      <c r="Q5" s="320"/>
      <c r="R5" s="320"/>
      <c r="S5" s="375"/>
    </row>
    <row r="6" spans="1:19" ht="24" customHeight="1">
      <c r="A6" s="364" t="s">
        <v>228</v>
      </c>
      <c r="B6" s="321" t="s">
        <v>40</v>
      </c>
      <c r="C6" s="321" t="s">
        <v>229</v>
      </c>
      <c r="D6" s="321" t="s">
        <v>39</v>
      </c>
      <c r="E6" s="321" t="s">
        <v>105</v>
      </c>
      <c r="F6" s="321" t="s">
        <v>230</v>
      </c>
      <c r="G6" s="322">
        <v>4</v>
      </c>
      <c r="H6" s="323">
        <v>70</v>
      </c>
      <c r="I6" s="323">
        <v>50</v>
      </c>
      <c r="J6" s="323">
        <v>260</v>
      </c>
      <c r="K6" s="323">
        <v>250</v>
      </c>
      <c r="L6" s="323">
        <v>90</v>
      </c>
      <c r="M6" s="323">
        <v>80</v>
      </c>
      <c r="N6" s="324">
        <f>SUM(H6:M6)</f>
        <v>800</v>
      </c>
      <c r="O6" s="323" t="s">
        <v>169</v>
      </c>
      <c r="P6" s="317">
        <v>2500</v>
      </c>
      <c r="Q6" s="325" t="s">
        <v>265</v>
      </c>
      <c r="R6" s="326">
        <f>IFERROR(N6+IF(ISNUMBER(O6),O6,0)+IF(ISNUMBER(P6),P6,0),"")</f>
        <v>3300</v>
      </c>
      <c r="S6" s="376" t="s">
        <v>142</v>
      </c>
    </row>
    <row r="7" spans="1:19" ht="24" customHeight="1">
      <c r="A7" s="364" t="s">
        <v>231</v>
      </c>
      <c r="B7" s="321" t="s">
        <v>232</v>
      </c>
      <c r="C7" s="321" t="s">
        <v>233</v>
      </c>
      <c r="D7" s="321" t="s">
        <v>56</v>
      </c>
      <c r="E7" s="321" t="s">
        <v>105</v>
      </c>
      <c r="F7" s="321" t="s">
        <v>230</v>
      </c>
      <c r="G7" s="322">
        <v>2</v>
      </c>
      <c r="H7" s="323">
        <v>70</v>
      </c>
      <c r="I7" s="323">
        <v>50</v>
      </c>
      <c r="J7" s="323">
        <v>260</v>
      </c>
      <c r="K7" s="323">
        <v>325</v>
      </c>
      <c r="L7" s="323">
        <v>90</v>
      </c>
      <c r="M7" s="323">
        <v>80</v>
      </c>
      <c r="N7" s="324">
        <f>SUM(H7:M7)</f>
        <v>875</v>
      </c>
      <c r="O7" s="323" t="s">
        <v>169</v>
      </c>
      <c r="P7" s="317">
        <v>2600</v>
      </c>
      <c r="Q7" s="325" t="s">
        <v>265</v>
      </c>
      <c r="R7" s="326">
        <f>IFERROR(N7+IF(ISNUMBER(O7),O7,0)+IF(ISNUMBER(P7),P7,0),"")</f>
        <v>3475</v>
      </c>
      <c r="S7" s="376" t="s">
        <v>142</v>
      </c>
    </row>
    <row r="8" spans="1:19" ht="24" customHeight="1">
      <c r="A8" s="364" t="s">
        <v>234</v>
      </c>
      <c r="B8" s="321" t="s">
        <v>94</v>
      </c>
      <c r="C8" s="321" t="s">
        <v>235</v>
      </c>
      <c r="D8" s="321" t="s">
        <v>39</v>
      </c>
      <c r="E8" s="321" t="s">
        <v>105</v>
      </c>
      <c r="F8" s="321" t="s">
        <v>230</v>
      </c>
      <c r="G8" s="322">
        <v>1</v>
      </c>
      <c r="H8" s="323">
        <v>70</v>
      </c>
      <c r="I8" s="323">
        <v>50</v>
      </c>
      <c r="J8" s="323">
        <v>260</v>
      </c>
      <c r="K8" s="323">
        <v>250</v>
      </c>
      <c r="L8" s="323">
        <v>90</v>
      </c>
      <c r="M8" s="323">
        <v>80</v>
      </c>
      <c r="N8" s="324">
        <f>SUM(H8:M8)</f>
        <v>800</v>
      </c>
      <c r="O8" s="323" t="s">
        <v>169</v>
      </c>
      <c r="P8" s="317">
        <v>2500</v>
      </c>
      <c r="Q8" s="325" t="s">
        <v>265</v>
      </c>
      <c r="R8" s="326">
        <f>IFERROR(N8+IF(ISNUMBER(O8),O8,0)+IF(ISNUMBER(P8),P8,0),"")</f>
        <v>3300</v>
      </c>
      <c r="S8" s="376" t="s">
        <v>142</v>
      </c>
    </row>
    <row r="9" spans="1:19" ht="24" customHeight="1">
      <c r="A9" s="364" t="s">
        <v>236</v>
      </c>
      <c r="B9" s="321" t="s">
        <v>102</v>
      </c>
      <c r="C9" s="321" t="s">
        <v>233</v>
      </c>
      <c r="D9" s="321" t="s">
        <v>29</v>
      </c>
      <c r="E9" s="321" t="s">
        <v>105</v>
      </c>
      <c r="F9" s="321" t="s">
        <v>230</v>
      </c>
      <c r="G9" s="322">
        <v>1</v>
      </c>
      <c r="H9" s="323">
        <v>70</v>
      </c>
      <c r="I9" s="323">
        <v>80</v>
      </c>
      <c r="J9" s="323">
        <v>160</v>
      </c>
      <c r="K9" s="323">
        <v>1000</v>
      </c>
      <c r="L9" s="323">
        <v>50</v>
      </c>
      <c r="M9" s="323">
        <v>75</v>
      </c>
      <c r="N9" s="324">
        <f>SUM(H9:M9)</f>
        <v>1435</v>
      </c>
      <c r="O9" s="323" t="s">
        <v>169</v>
      </c>
      <c r="P9" s="317">
        <v>3200</v>
      </c>
      <c r="Q9" s="325" t="s">
        <v>266</v>
      </c>
      <c r="R9" s="326">
        <f>IFERROR(N9+IF(ISNUMBER(O9),O9,0)+IF(ISNUMBER(P9),P9,0),"")</f>
        <v>4635</v>
      </c>
      <c r="S9" s="376" t="s">
        <v>140</v>
      </c>
    </row>
    <row r="10" spans="1:19" ht="24" customHeight="1">
      <c r="A10" s="364" t="s">
        <v>237</v>
      </c>
      <c r="B10" s="321" t="s">
        <v>103</v>
      </c>
      <c r="C10" s="321" t="s">
        <v>233</v>
      </c>
      <c r="D10" s="321" t="s">
        <v>227</v>
      </c>
      <c r="E10" s="321" t="s">
        <v>105</v>
      </c>
      <c r="F10" s="321" t="s">
        <v>230</v>
      </c>
      <c r="G10" s="322">
        <v>0</v>
      </c>
      <c r="H10" s="323">
        <v>70</v>
      </c>
      <c r="I10" s="323">
        <v>35</v>
      </c>
      <c r="J10" s="323">
        <v>145</v>
      </c>
      <c r="K10" s="323">
        <v>350</v>
      </c>
      <c r="L10" s="323">
        <v>150</v>
      </c>
      <c r="M10" s="323">
        <v>50</v>
      </c>
      <c r="N10" s="324">
        <f>SUM(H10:M10)</f>
        <v>800</v>
      </c>
      <c r="O10" s="323" t="s">
        <v>169</v>
      </c>
      <c r="P10" s="317">
        <v>2800</v>
      </c>
      <c r="Q10" s="325" t="s">
        <v>267</v>
      </c>
      <c r="R10" s="326">
        <f>IFERROR(N10+IF(ISNUMBER(O10),O10,0)+IF(ISNUMBER(P10),P10,0),"")</f>
        <v>3600</v>
      </c>
      <c r="S10" s="376" t="s">
        <v>142</v>
      </c>
    </row>
    <row r="11" spans="1:19" ht="24" customHeight="1">
      <c r="A11" s="364" t="s">
        <v>238</v>
      </c>
      <c r="B11" s="321" t="s">
        <v>82</v>
      </c>
      <c r="C11" s="321" t="s">
        <v>235</v>
      </c>
      <c r="D11" s="321" t="s">
        <v>17</v>
      </c>
      <c r="E11" s="321" t="s">
        <v>105</v>
      </c>
      <c r="F11" s="321" t="s">
        <v>239</v>
      </c>
      <c r="G11" s="322">
        <v>1</v>
      </c>
      <c r="H11" s="323">
        <v>70</v>
      </c>
      <c r="I11" s="323">
        <v>70</v>
      </c>
      <c r="J11" s="323">
        <v>145</v>
      </c>
      <c r="K11" s="323">
        <v>550</v>
      </c>
      <c r="L11" s="323">
        <v>15</v>
      </c>
      <c r="M11" s="323">
        <v>60</v>
      </c>
      <c r="N11" s="324">
        <f>SUM(H11:M11)</f>
        <v>910</v>
      </c>
      <c r="O11" s="323" t="s">
        <v>169</v>
      </c>
      <c r="P11" s="317">
        <v>2300</v>
      </c>
      <c r="Q11" s="325" t="s">
        <v>219</v>
      </c>
      <c r="R11" s="326">
        <f>IFERROR(N11+IF(ISNUMBER(O11),O11,0)+IF(ISNUMBER(P11),P11,0),"")</f>
        <v>3210</v>
      </c>
      <c r="S11" s="376" t="s">
        <v>141</v>
      </c>
    </row>
    <row r="12" spans="1:19" ht="24" customHeight="1">
      <c r="A12" s="364" t="s">
        <v>240</v>
      </c>
      <c r="B12" s="321" t="s">
        <v>83</v>
      </c>
      <c r="C12" s="321" t="s">
        <v>235</v>
      </c>
      <c r="D12" s="321" t="s">
        <v>17</v>
      </c>
      <c r="E12" s="321" t="s">
        <v>105</v>
      </c>
      <c r="F12" s="321" t="s">
        <v>230</v>
      </c>
      <c r="G12" s="322">
        <v>1</v>
      </c>
      <c r="H12" s="323">
        <v>70</v>
      </c>
      <c r="I12" s="323">
        <v>70</v>
      </c>
      <c r="J12" s="323">
        <v>145</v>
      </c>
      <c r="K12" s="323">
        <v>550</v>
      </c>
      <c r="L12" s="323">
        <v>15</v>
      </c>
      <c r="M12" s="323">
        <v>60</v>
      </c>
      <c r="N12" s="324">
        <f>SUM(H12:M12)</f>
        <v>910</v>
      </c>
      <c r="O12" s="323" t="s">
        <v>169</v>
      </c>
      <c r="P12" s="317">
        <v>2300</v>
      </c>
      <c r="Q12" s="325" t="s">
        <v>219</v>
      </c>
      <c r="R12" s="326">
        <f>IFERROR(N12+IF(ISNUMBER(O12),O12,0)+IF(ISNUMBER(P12),P12,0),"")</f>
        <v>3210</v>
      </c>
      <c r="S12" s="376" t="s">
        <v>141</v>
      </c>
    </row>
    <row r="13" spans="1:19" ht="24" customHeight="1">
      <c r="A13" s="364" t="s">
        <v>241</v>
      </c>
      <c r="B13" s="321" t="s">
        <v>84</v>
      </c>
      <c r="C13" s="321" t="s">
        <v>235</v>
      </c>
      <c r="D13" s="321" t="s">
        <v>17</v>
      </c>
      <c r="E13" s="321" t="s">
        <v>105</v>
      </c>
      <c r="F13" s="321" t="s">
        <v>230</v>
      </c>
      <c r="G13" s="322">
        <v>0.5</v>
      </c>
      <c r="H13" s="323">
        <v>70</v>
      </c>
      <c r="I13" s="323">
        <v>70</v>
      </c>
      <c r="J13" s="323">
        <v>145</v>
      </c>
      <c r="K13" s="323">
        <v>550</v>
      </c>
      <c r="L13" s="323">
        <v>15</v>
      </c>
      <c r="M13" s="323">
        <v>60</v>
      </c>
      <c r="N13" s="324">
        <f>SUM(H13:M13)</f>
        <v>910</v>
      </c>
      <c r="O13" s="323" t="s">
        <v>169</v>
      </c>
      <c r="P13" s="317">
        <v>2300</v>
      </c>
      <c r="Q13" s="325" t="s">
        <v>219</v>
      </c>
      <c r="R13" s="326">
        <f>IFERROR(N13+IF(ISNUMBER(O13),O13,0)+IF(ISNUMBER(P13),P13,0),"")</f>
        <v>3210</v>
      </c>
      <c r="S13" s="376" t="s">
        <v>141</v>
      </c>
    </row>
    <row r="14" spans="1:19" ht="24" customHeight="1">
      <c r="A14" s="364" t="s">
        <v>242</v>
      </c>
      <c r="B14" s="321" t="s">
        <v>85</v>
      </c>
      <c r="C14" s="321" t="s">
        <v>235</v>
      </c>
      <c r="D14" s="321" t="s">
        <v>17</v>
      </c>
      <c r="E14" s="321" t="s">
        <v>105</v>
      </c>
      <c r="F14" s="321" t="s">
        <v>230</v>
      </c>
      <c r="G14" s="322">
        <v>1</v>
      </c>
      <c r="H14" s="323">
        <v>70</v>
      </c>
      <c r="I14" s="323">
        <v>70</v>
      </c>
      <c r="J14" s="323">
        <v>145</v>
      </c>
      <c r="K14" s="323">
        <v>250</v>
      </c>
      <c r="L14" s="323">
        <v>15</v>
      </c>
      <c r="M14" s="323">
        <v>60</v>
      </c>
      <c r="N14" s="324">
        <f>SUM(H14:M14)</f>
        <v>610</v>
      </c>
      <c r="O14" s="323" t="s">
        <v>169</v>
      </c>
      <c r="P14" s="317">
        <v>2300</v>
      </c>
      <c r="Q14" s="325" t="s">
        <v>219</v>
      </c>
      <c r="R14" s="326">
        <f>IFERROR(N14+IF(ISNUMBER(O14),O14,0)+IF(ISNUMBER(P14),P14,0),"")</f>
        <v>2910</v>
      </c>
      <c r="S14" s="376" t="s">
        <v>141</v>
      </c>
    </row>
    <row r="15" spans="1:19" ht="24" customHeight="1">
      <c r="A15" s="364" t="s">
        <v>243</v>
      </c>
      <c r="B15" s="321" t="s">
        <v>86</v>
      </c>
      <c r="C15" s="321" t="s">
        <v>235</v>
      </c>
      <c r="D15" s="321" t="s">
        <v>17</v>
      </c>
      <c r="E15" s="321" t="s">
        <v>105</v>
      </c>
      <c r="F15" s="321" t="s">
        <v>230</v>
      </c>
      <c r="G15" s="322">
        <v>1</v>
      </c>
      <c r="H15" s="323">
        <v>70</v>
      </c>
      <c r="I15" s="323">
        <v>70</v>
      </c>
      <c r="J15" s="323">
        <v>145</v>
      </c>
      <c r="K15" s="323">
        <v>200</v>
      </c>
      <c r="L15" s="323">
        <v>15</v>
      </c>
      <c r="M15" s="323">
        <v>50</v>
      </c>
      <c r="N15" s="324">
        <f>SUM(H15:M15)</f>
        <v>550</v>
      </c>
      <c r="O15" s="323" t="s">
        <v>169</v>
      </c>
      <c r="P15" s="317">
        <v>2300</v>
      </c>
      <c r="Q15" s="325" t="s">
        <v>219</v>
      </c>
      <c r="R15" s="326">
        <f>IFERROR(N15+IF(ISNUMBER(O15),O15,0)+IF(ISNUMBER(P15),P15,0),"")</f>
        <v>2850</v>
      </c>
      <c r="S15" s="376" t="s">
        <v>141</v>
      </c>
    </row>
    <row r="16" spans="1:19" ht="24" customHeight="1">
      <c r="A16" s="364" t="s">
        <v>244</v>
      </c>
      <c r="B16" s="321" t="s">
        <v>87</v>
      </c>
      <c r="C16" s="321" t="s">
        <v>235</v>
      </c>
      <c r="D16" s="321" t="s">
        <v>17</v>
      </c>
      <c r="E16" s="321" t="s">
        <v>105</v>
      </c>
      <c r="F16" s="321" t="s">
        <v>230</v>
      </c>
      <c r="G16" s="322">
        <v>0.5</v>
      </c>
      <c r="H16" s="323">
        <v>70</v>
      </c>
      <c r="I16" s="323">
        <v>70</v>
      </c>
      <c r="J16" s="323">
        <v>145</v>
      </c>
      <c r="K16" s="323">
        <v>1550</v>
      </c>
      <c r="L16" s="323">
        <v>15</v>
      </c>
      <c r="M16" s="323">
        <v>60</v>
      </c>
      <c r="N16" s="324">
        <f>SUM(H16:M16)</f>
        <v>1910</v>
      </c>
      <c r="O16" s="323" t="s">
        <v>169</v>
      </c>
      <c r="P16" s="317">
        <v>2300</v>
      </c>
      <c r="Q16" s="325" t="s">
        <v>219</v>
      </c>
      <c r="R16" s="326">
        <f>IFERROR(N16+IF(ISNUMBER(O16),O16,0)+IF(ISNUMBER(P16),P16,0),"")</f>
        <v>4210</v>
      </c>
      <c r="S16" s="376" t="s">
        <v>141</v>
      </c>
    </row>
    <row r="17" spans="1:19" ht="24" customHeight="1">
      <c r="A17" s="364" t="s">
        <v>245</v>
      </c>
      <c r="B17" s="321" t="s">
        <v>97</v>
      </c>
      <c r="C17" s="321" t="s">
        <v>233</v>
      </c>
      <c r="D17" s="321" t="s">
        <v>17</v>
      </c>
      <c r="E17" s="321" t="s">
        <v>105</v>
      </c>
      <c r="F17" s="321" t="s">
        <v>230</v>
      </c>
      <c r="G17" s="322">
        <v>1</v>
      </c>
      <c r="H17" s="323">
        <v>70</v>
      </c>
      <c r="I17" s="323">
        <v>70</v>
      </c>
      <c r="J17" s="323">
        <v>145</v>
      </c>
      <c r="K17" s="323">
        <v>350</v>
      </c>
      <c r="L17" s="323">
        <v>15</v>
      </c>
      <c r="M17" s="323">
        <v>60</v>
      </c>
      <c r="N17" s="324">
        <f>SUM(H17:M17)</f>
        <v>710</v>
      </c>
      <c r="O17" s="323" t="s">
        <v>169</v>
      </c>
      <c r="P17" s="317">
        <v>2300</v>
      </c>
      <c r="Q17" s="325" t="s">
        <v>219</v>
      </c>
      <c r="R17" s="326">
        <f>IFERROR(N17+IF(ISNUMBER(O17),O17,0)+IF(ISNUMBER(P17),P17,0),"")</f>
        <v>3010</v>
      </c>
      <c r="S17" s="376" t="s">
        <v>141</v>
      </c>
    </row>
    <row r="18" spans="1:19" ht="24" customHeight="1">
      <c r="A18" s="364" t="s">
        <v>246</v>
      </c>
      <c r="B18" s="321" t="s">
        <v>247</v>
      </c>
      <c r="C18" s="321" t="s">
        <v>233</v>
      </c>
      <c r="D18" s="321" t="s">
        <v>44</v>
      </c>
      <c r="E18" s="321" t="s">
        <v>105</v>
      </c>
      <c r="F18" s="321" t="s">
        <v>230</v>
      </c>
      <c r="G18" s="322">
        <v>1</v>
      </c>
      <c r="H18" s="323">
        <v>70</v>
      </c>
      <c r="I18" s="323">
        <v>70</v>
      </c>
      <c r="J18" s="323">
        <v>145</v>
      </c>
      <c r="K18" s="323">
        <v>200</v>
      </c>
      <c r="L18" s="323">
        <v>15</v>
      </c>
      <c r="M18" s="323">
        <v>50</v>
      </c>
      <c r="N18" s="324">
        <f>SUM(H18:M18)</f>
        <v>550</v>
      </c>
      <c r="O18" s="323" t="s">
        <v>169</v>
      </c>
      <c r="P18" s="317">
        <v>2300</v>
      </c>
      <c r="Q18" s="325" t="s">
        <v>222</v>
      </c>
      <c r="R18" s="326">
        <f>IFERROR(N18+IF(ISNUMBER(O18),O18,0)+IF(ISNUMBER(P18),P18,0),"")</f>
        <v>2850</v>
      </c>
      <c r="S18" s="376" t="s">
        <v>141</v>
      </c>
    </row>
    <row r="19" spans="1:19" ht="24" customHeight="1">
      <c r="A19" s="364" t="s">
        <v>248</v>
      </c>
      <c r="B19" s="321" t="s">
        <v>98</v>
      </c>
      <c r="C19" s="321" t="s">
        <v>233</v>
      </c>
      <c r="D19" s="321" t="s">
        <v>17</v>
      </c>
      <c r="E19" s="321" t="s">
        <v>105</v>
      </c>
      <c r="F19" s="321" t="s">
        <v>239</v>
      </c>
      <c r="G19" s="322">
        <v>1</v>
      </c>
      <c r="H19" s="323">
        <v>70</v>
      </c>
      <c r="I19" s="323">
        <v>70</v>
      </c>
      <c r="J19" s="323">
        <v>145</v>
      </c>
      <c r="K19" s="323">
        <v>50</v>
      </c>
      <c r="L19" s="323">
        <v>15</v>
      </c>
      <c r="M19" s="323">
        <v>60</v>
      </c>
      <c r="N19" s="324">
        <f>SUM(H19:M19)</f>
        <v>410</v>
      </c>
      <c r="O19" s="323" t="s">
        <v>169</v>
      </c>
      <c r="P19" s="317">
        <v>2300</v>
      </c>
      <c r="Q19" s="325" t="s">
        <v>219</v>
      </c>
      <c r="R19" s="326">
        <f>IFERROR(N19+IF(ISNUMBER(O19),O19,0)+IF(ISNUMBER(P19),P19,0),"")</f>
        <v>2710</v>
      </c>
      <c r="S19" s="376" t="s">
        <v>141</v>
      </c>
    </row>
    <row r="20" spans="1:19" ht="24" customHeight="1">
      <c r="A20" s="364" t="s">
        <v>249</v>
      </c>
      <c r="B20" s="321" t="s">
        <v>250</v>
      </c>
      <c r="C20" s="321" t="s">
        <v>235</v>
      </c>
      <c r="D20" s="321" t="s">
        <v>17</v>
      </c>
      <c r="E20" s="321" t="s">
        <v>105</v>
      </c>
      <c r="F20" s="321" t="s">
        <v>230</v>
      </c>
      <c r="G20" s="322">
        <v>1</v>
      </c>
      <c r="H20" s="323">
        <v>70</v>
      </c>
      <c r="I20" s="323">
        <v>70</v>
      </c>
      <c r="J20" s="323">
        <v>145</v>
      </c>
      <c r="K20" s="323">
        <v>550</v>
      </c>
      <c r="L20" s="323">
        <v>15</v>
      </c>
      <c r="M20" s="323">
        <v>60</v>
      </c>
      <c r="N20" s="324">
        <f>SUM(H20:M20)</f>
        <v>910</v>
      </c>
      <c r="O20" s="323" t="s">
        <v>169</v>
      </c>
      <c r="P20" s="317">
        <v>2300</v>
      </c>
      <c r="Q20" s="325" t="s">
        <v>219</v>
      </c>
      <c r="R20" s="326">
        <f>IFERROR(N20+IF(ISNUMBER(O20),O20,0)+IF(ISNUMBER(P20),P20,0),"")</f>
        <v>3210</v>
      </c>
      <c r="S20" s="376" t="s">
        <v>141</v>
      </c>
    </row>
    <row r="21" spans="1:19" ht="24" customHeight="1">
      <c r="A21" s="364" t="s">
        <v>251</v>
      </c>
      <c r="B21" s="321" t="s">
        <v>99</v>
      </c>
      <c r="C21" s="321" t="s">
        <v>233</v>
      </c>
      <c r="D21" s="321" t="s">
        <v>17</v>
      </c>
      <c r="E21" s="321" t="s">
        <v>105</v>
      </c>
      <c r="F21" s="321" t="s">
        <v>230</v>
      </c>
      <c r="G21" s="322">
        <v>0</v>
      </c>
      <c r="H21" s="323">
        <v>70</v>
      </c>
      <c r="I21" s="323">
        <v>70</v>
      </c>
      <c r="J21" s="323">
        <v>145</v>
      </c>
      <c r="K21" s="323">
        <v>550</v>
      </c>
      <c r="L21" s="323">
        <v>15</v>
      </c>
      <c r="M21" s="323">
        <v>60</v>
      </c>
      <c r="N21" s="324">
        <f>SUM(H21:M21)</f>
        <v>910</v>
      </c>
      <c r="O21" s="323" t="s">
        <v>169</v>
      </c>
      <c r="P21" s="317" t="s">
        <v>221</v>
      </c>
      <c r="Q21" s="325" t="s">
        <v>219</v>
      </c>
      <c r="R21" s="326">
        <f>IFERROR(N21+IF(ISNUMBER(O21),O21,0)+IF(ISNUMBER(P21),P21,0),"")</f>
        <v>910</v>
      </c>
      <c r="S21" s="376" t="s">
        <v>553</v>
      </c>
    </row>
    <row r="22" spans="1:19" ht="24" customHeight="1">
      <c r="A22" s="364" t="s">
        <v>252</v>
      </c>
      <c r="B22" s="321" t="s">
        <v>100</v>
      </c>
      <c r="C22" s="321" t="s">
        <v>233</v>
      </c>
      <c r="D22" s="321" t="s">
        <v>17</v>
      </c>
      <c r="E22" s="321" t="s">
        <v>105</v>
      </c>
      <c r="F22" s="321" t="s">
        <v>230</v>
      </c>
      <c r="G22" s="322">
        <v>0</v>
      </c>
      <c r="H22" s="323">
        <v>70</v>
      </c>
      <c r="I22" s="323">
        <v>70</v>
      </c>
      <c r="J22" s="323">
        <v>145</v>
      </c>
      <c r="K22" s="323">
        <v>1500</v>
      </c>
      <c r="L22" s="323">
        <v>15</v>
      </c>
      <c r="M22" s="323">
        <v>60</v>
      </c>
      <c r="N22" s="324">
        <f>SUM(H22:M22)</f>
        <v>1860</v>
      </c>
      <c r="O22" s="323" t="s">
        <v>169</v>
      </c>
      <c r="P22" s="317" t="s">
        <v>221</v>
      </c>
      <c r="Q22" s="325" t="s">
        <v>219</v>
      </c>
      <c r="R22" s="326">
        <f>IFERROR(N22+IF(ISNUMBER(O22),O22,0)+IF(ISNUMBER(P22),P22,0),"")</f>
        <v>1860</v>
      </c>
      <c r="S22" s="376" t="s">
        <v>553</v>
      </c>
    </row>
    <row r="23" spans="1:19" ht="22" customHeight="1">
      <c r="A23" s="365" t="str">
        <f>_xlfn.CONCAT("AIUS   |   USA (HOU / Detroit / Savanna)   |   5 条航线   |   两周需求 ", TEXT(SUM(G24:G28),"0.0")," HQ40")</f>
        <v>AIUS   |   USA (HOU / Detroit / Savanna)   |   5 条航线   |   两周需求 3.0 HQ40</v>
      </c>
      <c r="B23" s="327"/>
      <c r="C23" s="327"/>
      <c r="D23" s="327"/>
      <c r="E23" s="327"/>
      <c r="F23" s="327"/>
      <c r="G23" s="327"/>
      <c r="H23" s="327"/>
      <c r="I23" s="327"/>
      <c r="J23" s="327"/>
      <c r="K23" s="327"/>
      <c r="L23" s="327"/>
      <c r="M23" s="327"/>
      <c r="N23" s="327"/>
      <c r="O23" s="327"/>
      <c r="P23" s="327"/>
      <c r="Q23" s="327"/>
      <c r="R23" s="327"/>
      <c r="S23" s="377"/>
    </row>
    <row r="24" spans="1:19" ht="24" customHeight="1">
      <c r="A24" s="366" t="s">
        <v>201</v>
      </c>
      <c r="B24" s="328" t="s">
        <v>268</v>
      </c>
      <c r="C24" s="328" t="s">
        <v>280</v>
      </c>
      <c r="D24" s="328" t="s">
        <v>17</v>
      </c>
      <c r="E24" s="328" t="s">
        <v>18</v>
      </c>
      <c r="F24" s="328" t="s">
        <v>199</v>
      </c>
      <c r="G24" s="329">
        <v>1</v>
      </c>
      <c r="H24" s="330">
        <v>70</v>
      </c>
      <c r="I24" s="330">
        <v>70</v>
      </c>
      <c r="J24" s="330">
        <v>140</v>
      </c>
      <c r="K24" s="330">
        <v>400</v>
      </c>
      <c r="L24" s="330">
        <v>10</v>
      </c>
      <c r="M24" s="330">
        <v>70</v>
      </c>
      <c r="N24" s="331">
        <f>SUM(H24:M24)</f>
        <v>760</v>
      </c>
      <c r="O24" s="330">
        <v>2685</v>
      </c>
      <c r="P24" s="317">
        <v>3450</v>
      </c>
      <c r="Q24" s="332" t="s">
        <v>151</v>
      </c>
      <c r="R24" s="333">
        <f>IFERROR(N24+IF(ISNUMBER(O24),O24,0)+IF(ISNUMBER(P24),P24,0),"")</f>
        <v>6895</v>
      </c>
      <c r="S24" s="378" t="s">
        <v>302</v>
      </c>
    </row>
    <row r="25" spans="1:19" ht="24" customHeight="1">
      <c r="A25" s="366" t="s">
        <v>204</v>
      </c>
      <c r="B25" s="328" t="s">
        <v>271</v>
      </c>
      <c r="C25" s="328" t="s">
        <v>281</v>
      </c>
      <c r="D25" s="328" t="s">
        <v>17</v>
      </c>
      <c r="E25" s="328" t="s">
        <v>23</v>
      </c>
      <c r="F25" s="328" t="s">
        <v>199</v>
      </c>
      <c r="G25" s="329">
        <v>0</v>
      </c>
      <c r="H25" s="330">
        <v>70</v>
      </c>
      <c r="I25" s="330">
        <v>70</v>
      </c>
      <c r="J25" s="330">
        <v>140</v>
      </c>
      <c r="K25" s="330">
        <v>250</v>
      </c>
      <c r="L25" s="330">
        <v>10</v>
      </c>
      <c r="M25" s="330">
        <v>70</v>
      </c>
      <c r="N25" s="331">
        <f>SUM(H25:M25)</f>
        <v>610</v>
      </c>
      <c r="O25" s="330">
        <v>885</v>
      </c>
      <c r="P25" s="317" t="s">
        <v>221</v>
      </c>
      <c r="Q25" s="332"/>
      <c r="R25" s="333">
        <f>IFERROR(N25+IF(ISNUMBER(O25),O25,0)+IF(ISNUMBER(P25),P25,0),"")</f>
        <v>1495</v>
      </c>
      <c r="S25" s="378" t="s">
        <v>221</v>
      </c>
    </row>
    <row r="26" spans="1:19" ht="24" customHeight="1">
      <c r="A26" s="366" t="s">
        <v>205</v>
      </c>
      <c r="B26" s="328" t="s">
        <v>275</v>
      </c>
      <c r="C26" s="328" t="s">
        <v>282</v>
      </c>
      <c r="D26" s="328" t="s">
        <v>39</v>
      </c>
      <c r="E26" s="328" t="s">
        <v>27</v>
      </c>
      <c r="F26" s="328" t="s">
        <v>194</v>
      </c>
      <c r="G26" s="329">
        <v>2</v>
      </c>
      <c r="H26" s="330">
        <v>70</v>
      </c>
      <c r="I26" s="330">
        <v>70</v>
      </c>
      <c r="J26" s="330">
        <v>140</v>
      </c>
      <c r="K26" s="330">
        <v>300</v>
      </c>
      <c r="L26" s="330">
        <v>30</v>
      </c>
      <c r="M26" s="330">
        <v>70</v>
      </c>
      <c r="N26" s="331">
        <f>SUM(H26:M26)</f>
        <v>680</v>
      </c>
      <c r="O26" s="330">
        <v>2785</v>
      </c>
      <c r="P26" s="317">
        <v>3400</v>
      </c>
      <c r="Q26" s="332" t="s">
        <v>151</v>
      </c>
      <c r="R26" s="333">
        <f>IFERROR(N26+IF(ISNUMBER(O26),O26,0)+IF(ISNUMBER(P26),P26,0),"")</f>
        <v>6865</v>
      </c>
      <c r="S26" s="378" t="s">
        <v>141</v>
      </c>
    </row>
    <row r="27" spans="1:19" ht="24" customHeight="1">
      <c r="A27" s="366" t="s">
        <v>207</v>
      </c>
      <c r="B27" s="328" t="s">
        <v>283</v>
      </c>
      <c r="C27" s="328" t="s">
        <v>284</v>
      </c>
      <c r="D27" s="328" t="s">
        <v>29</v>
      </c>
      <c r="E27" s="328" t="s">
        <v>27</v>
      </c>
      <c r="F27" s="328" t="s">
        <v>194</v>
      </c>
      <c r="G27" s="329">
        <v>0</v>
      </c>
      <c r="H27" s="330">
        <v>70</v>
      </c>
      <c r="I27" s="330">
        <v>80</v>
      </c>
      <c r="J27" s="330">
        <v>160</v>
      </c>
      <c r="K27" s="330">
        <v>1000</v>
      </c>
      <c r="L27" s="330">
        <v>50</v>
      </c>
      <c r="M27" s="330">
        <v>75</v>
      </c>
      <c r="N27" s="331">
        <f>SUM(H27:M27)</f>
        <v>1435</v>
      </c>
      <c r="O27" s="330">
        <v>2785</v>
      </c>
      <c r="P27" s="317" t="s">
        <v>221</v>
      </c>
      <c r="Q27" s="332" t="s">
        <v>208</v>
      </c>
      <c r="R27" s="333">
        <f>IFERROR(N27+IF(ISNUMBER(O27),O27,0)+IF(ISNUMBER(P27),P27,0),"")</f>
        <v>4220</v>
      </c>
      <c r="S27" s="378" t="s">
        <v>221</v>
      </c>
    </row>
    <row r="28" spans="1:19" ht="24" customHeight="1">
      <c r="A28" s="366" t="s">
        <v>209</v>
      </c>
      <c r="B28" s="328" t="s">
        <v>268</v>
      </c>
      <c r="C28" s="328" t="s">
        <v>284</v>
      </c>
      <c r="D28" s="328" t="s">
        <v>17</v>
      </c>
      <c r="E28" s="328" t="s">
        <v>27</v>
      </c>
      <c r="F28" s="328" t="s">
        <v>194</v>
      </c>
      <c r="G28" s="329">
        <v>0</v>
      </c>
      <c r="H28" s="330">
        <v>70</v>
      </c>
      <c r="I28" s="330">
        <v>70</v>
      </c>
      <c r="J28" s="330">
        <v>140</v>
      </c>
      <c r="K28" s="330">
        <v>400</v>
      </c>
      <c r="L28" s="330">
        <v>10</v>
      </c>
      <c r="M28" s="330">
        <v>70</v>
      </c>
      <c r="N28" s="331">
        <f>SUM(H28:M28)</f>
        <v>760</v>
      </c>
      <c r="O28" s="330">
        <v>2785</v>
      </c>
      <c r="P28" s="317" t="s">
        <v>221</v>
      </c>
      <c r="Q28" s="332" t="s">
        <v>210</v>
      </c>
      <c r="R28" s="333">
        <f>IFERROR(N28+IF(ISNUMBER(O28),O28,0)+IF(ISNUMBER(P28),P28,0),"")</f>
        <v>3545</v>
      </c>
      <c r="S28" s="378" t="s">
        <v>221</v>
      </c>
    </row>
    <row r="29" spans="1:19" ht="22" customHeight="1">
      <c r="A29" s="367" t="str">
        <f>_xlfn.CONCAT("AISH   |   Asia → SHA (inbound)   |   2 条航线   |   两周需求 ", TEXT(SUM(G30:G31),"0.0")," HQ40")</f>
        <v>AISH   |   Asia → SHA (inbound)   |   2 条航线   |   两周需求 3.0 HQ40</v>
      </c>
      <c r="B29" s="334"/>
      <c r="C29" s="334"/>
      <c r="D29" s="334"/>
      <c r="E29" s="334"/>
      <c r="F29" s="334"/>
      <c r="G29" s="334"/>
      <c r="H29" s="334"/>
      <c r="I29" s="334"/>
      <c r="J29" s="334"/>
      <c r="K29" s="334"/>
      <c r="L29" s="334"/>
      <c r="M29" s="334"/>
      <c r="N29" s="334"/>
      <c r="O29" s="334"/>
      <c r="P29" s="334"/>
      <c r="Q29" s="334"/>
      <c r="R29" s="334"/>
      <c r="S29" s="379"/>
    </row>
    <row r="30" spans="1:19" ht="24" customHeight="1">
      <c r="A30" s="368" t="s">
        <v>225</v>
      </c>
      <c r="B30" s="335" t="s">
        <v>285</v>
      </c>
      <c r="C30" s="335" t="s">
        <v>286</v>
      </c>
      <c r="D30" s="335" t="s">
        <v>56</v>
      </c>
      <c r="E30" s="335" t="s">
        <v>17</v>
      </c>
      <c r="F30" s="335" t="s">
        <v>199</v>
      </c>
      <c r="G30" s="336">
        <v>1</v>
      </c>
      <c r="H30" s="337">
        <v>70</v>
      </c>
      <c r="I30" s="337">
        <v>50</v>
      </c>
      <c r="J30" s="337">
        <v>260</v>
      </c>
      <c r="K30" s="337">
        <v>325</v>
      </c>
      <c r="L30" s="337">
        <v>90</v>
      </c>
      <c r="M30" s="337">
        <v>80</v>
      </c>
      <c r="N30" s="338">
        <f>SUM(H30:M30)</f>
        <v>875</v>
      </c>
      <c r="O30" s="337">
        <v>600</v>
      </c>
      <c r="P30" s="317">
        <v>1</v>
      </c>
      <c r="Q30" s="339" t="s">
        <v>155</v>
      </c>
      <c r="R30" s="340">
        <f>IFERROR(N30+IF(ISNUMBER(O30),O30,0)+IF(ISNUMBER(P30),P30,0),"")</f>
        <v>1476</v>
      </c>
      <c r="S30" s="380" t="s">
        <v>131</v>
      </c>
    </row>
    <row r="31" spans="1:19" ht="24" customHeight="1">
      <c r="A31" s="368" t="s">
        <v>226</v>
      </c>
      <c r="B31" s="335" t="s">
        <v>287</v>
      </c>
      <c r="C31" s="335" t="s">
        <v>286</v>
      </c>
      <c r="D31" s="335" t="s">
        <v>227</v>
      </c>
      <c r="E31" s="335" t="s">
        <v>17</v>
      </c>
      <c r="F31" s="335" t="s">
        <v>199</v>
      </c>
      <c r="G31" s="336">
        <v>2</v>
      </c>
      <c r="H31" s="337">
        <v>50</v>
      </c>
      <c r="I31" s="337">
        <v>35</v>
      </c>
      <c r="J31" s="337">
        <v>125</v>
      </c>
      <c r="K31" s="337">
        <v>280</v>
      </c>
      <c r="L31" s="337">
        <v>150</v>
      </c>
      <c r="M31" s="337">
        <v>50</v>
      </c>
      <c r="N31" s="338">
        <f>SUM(H31:M31)</f>
        <v>690</v>
      </c>
      <c r="O31" s="337">
        <v>600</v>
      </c>
      <c r="P31" s="317">
        <v>1</v>
      </c>
      <c r="Q31" s="339" t="s">
        <v>156</v>
      </c>
      <c r="R31" s="340">
        <f>IFERROR(N31+IF(ISNUMBER(O31),O31,0)+IF(ISNUMBER(P31),P31,0),"")</f>
        <v>1291</v>
      </c>
      <c r="S31" s="380" t="s">
        <v>131</v>
      </c>
    </row>
    <row r="32" spans="1:19" ht="22" customHeight="1">
      <c r="A32" s="369" t="str">
        <f>_xlfn.CONCAT("AITH   |   Thailand (Laemchabang)   |   5 条航线   |   两周需求 ", TEXT(SUM(G33:G37),"0.0")," HQ40")</f>
        <v>AITH   |   Thailand (Laemchabang)   |   5 条航线   |   两周需求 5.0 HQ40</v>
      </c>
      <c r="B32" s="341"/>
      <c r="C32" s="341"/>
      <c r="D32" s="341"/>
      <c r="E32" s="341"/>
      <c r="F32" s="341"/>
      <c r="G32" s="341"/>
      <c r="H32" s="341"/>
      <c r="I32" s="341"/>
      <c r="J32" s="341"/>
      <c r="K32" s="341"/>
      <c r="L32" s="341"/>
      <c r="M32" s="341"/>
      <c r="N32" s="341"/>
      <c r="O32" s="341"/>
      <c r="P32" s="341"/>
      <c r="Q32" s="341"/>
      <c r="R32" s="341"/>
      <c r="S32" s="381"/>
    </row>
    <row r="33" spans="1:19" ht="24" customHeight="1">
      <c r="A33" s="370" t="s">
        <v>216</v>
      </c>
      <c r="B33" s="342" t="s">
        <v>271</v>
      </c>
      <c r="C33" s="342" t="s">
        <v>272</v>
      </c>
      <c r="D33" s="342" t="s">
        <v>17</v>
      </c>
      <c r="E33" s="342" t="s">
        <v>39</v>
      </c>
      <c r="F33" s="342" t="s">
        <v>199</v>
      </c>
      <c r="G33" s="343">
        <v>1</v>
      </c>
      <c r="H33" s="344">
        <v>70</v>
      </c>
      <c r="I33" s="344">
        <v>70</v>
      </c>
      <c r="J33" s="344">
        <v>140</v>
      </c>
      <c r="K33" s="344">
        <v>250</v>
      </c>
      <c r="L33" s="344">
        <v>10</v>
      </c>
      <c r="M33" s="344">
        <v>70</v>
      </c>
      <c r="N33" s="345">
        <f>SUM(H33:M33)</f>
        <v>610</v>
      </c>
      <c r="O33" s="344">
        <v>800</v>
      </c>
      <c r="P33" s="317">
        <v>900</v>
      </c>
      <c r="Q33" s="346" t="s">
        <v>155</v>
      </c>
      <c r="R33" s="347">
        <f>IFERROR(N33+IF(ISNUMBER(O33),O33,0)+IF(ISNUMBER(P33),P33,0),"")</f>
        <v>2310</v>
      </c>
      <c r="S33" s="382" t="s">
        <v>142</v>
      </c>
    </row>
    <row r="34" spans="1:19" ht="24" customHeight="1">
      <c r="A34" s="370" t="s">
        <v>273</v>
      </c>
      <c r="B34" s="342" t="s">
        <v>274</v>
      </c>
      <c r="C34" s="342" t="s">
        <v>275</v>
      </c>
      <c r="D34" s="342" t="s">
        <v>17</v>
      </c>
      <c r="E34" s="342" t="s">
        <v>39</v>
      </c>
      <c r="F34" s="342" t="s">
        <v>199</v>
      </c>
      <c r="G34" s="343">
        <v>1</v>
      </c>
      <c r="H34" s="344">
        <v>70</v>
      </c>
      <c r="I34" s="344">
        <v>70</v>
      </c>
      <c r="J34" s="344">
        <v>140</v>
      </c>
      <c r="K34" s="344">
        <v>250</v>
      </c>
      <c r="L34" s="344">
        <v>10</v>
      </c>
      <c r="M34" s="344">
        <v>70</v>
      </c>
      <c r="N34" s="345">
        <f>SUM(H34:M34)</f>
        <v>610</v>
      </c>
      <c r="O34" s="344">
        <v>800</v>
      </c>
      <c r="P34" s="317">
        <v>900</v>
      </c>
      <c r="Q34" s="346" t="s">
        <v>155</v>
      </c>
      <c r="R34" s="347">
        <f>IFERROR(N34+IF(ISNUMBER(O34),O34,0)+IF(ISNUMBER(P34),P34,0),"")</f>
        <v>2310</v>
      </c>
      <c r="S34" s="382" t="s">
        <v>142</v>
      </c>
    </row>
    <row r="35" spans="1:19" ht="24" customHeight="1">
      <c r="A35" s="370" t="s">
        <v>218</v>
      </c>
      <c r="B35" s="342" t="s">
        <v>276</v>
      </c>
      <c r="C35" s="342" t="s">
        <v>277</v>
      </c>
      <c r="D35" s="342" t="s">
        <v>44</v>
      </c>
      <c r="E35" s="342" t="s">
        <v>39</v>
      </c>
      <c r="F35" s="342" t="s">
        <v>199</v>
      </c>
      <c r="G35" s="343">
        <v>0</v>
      </c>
      <c r="H35" s="344">
        <v>70</v>
      </c>
      <c r="I35" s="344">
        <v>70</v>
      </c>
      <c r="J35" s="344">
        <v>140</v>
      </c>
      <c r="K35" s="344">
        <v>420</v>
      </c>
      <c r="L35" s="344">
        <v>30</v>
      </c>
      <c r="M35" s="344">
        <v>70</v>
      </c>
      <c r="N35" s="345">
        <f>SUM(H35:M35)</f>
        <v>800</v>
      </c>
      <c r="O35" s="344">
        <v>800</v>
      </c>
      <c r="P35" s="317">
        <v>1100</v>
      </c>
      <c r="Q35" s="346" t="s">
        <v>219</v>
      </c>
      <c r="R35" s="347">
        <f>IFERROR(N35+IF(ISNUMBER(O35),O35,0)+IF(ISNUMBER(P35),P35,0),"")</f>
        <v>2700</v>
      </c>
      <c r="S35" s="382" t="s">
        <v>142</v>
      </c>
    </row>
    <row r="36" spans="1:19" ht="24" customHeight="1">
      <c r="A36" s="370" t="s">
        <v>220</v>
      </c>
      <c r="B36" s="342" t="s">
        <v>278</v>
      </c>
      <c r="C36" s="342" t="s">
        <v>275</v>
      </c>
      <c r="D36" s="342" t="s">
        <v>46</v>
      </c>
      <c r="E36" s="342" t="s">
        <v>39</v>
      </c>
      <c r="F36" s="342" t="s">
        <v>199</v>
      </c>
      <c r="G36" s="343">
        <v>0</v>
      </c>
      <c r="H36" s="344">
        <v>70</v>
      </c>
      <c r="I36" s="344">
        <v>70</v>
      </c>
      <c r="J36" s="344">
        <v>140</v>
      </c>
      <c r="K36" s="344">
        <v>420</v>
      </c>
      <c r="L36" s="344">
        <v>30</v>
      </c>
      <c r="M36" s="344">
        <v>70</v>
      </c>
      <c r="N36" s="345">
        <f>SUM(H36:M36)</f>
        <v>800</v>
      </c>
      <c r="O36" s="344">
        <v>800</v>
      </c>
      <c r="P36" s="317" t="s">
        <v>221</v>
      </c>
      <c r="Q36" s="346" t="s">
        <v>222</v>
      </c>
      <c r="R36" s="347">
        <f>IFERROR(N36+IF(ISNUMBER(O36),O36,0)+IF(ISNUMBER(P36),P36,0),"")</f>
        <v>1600</v>
      </c>
      <c r="S36" s="382" t="s">
        <v>221</v>
      </c>
    </row>
    <row r="37" spans="1:19" ht="24" customHeight="1">
      <c r="A37" s="370" t="s">
        <v>223</v>
      </c>
      <c r="B37" s="342" t="s">
        <v>275</v>
      </c>
      <c r="C37" s="342" t="s">
        <v>279</v>
      </c>
      <c r="D37" s="342" t="s">
        <v>39</v>
      </c>
      <c r="E37" s="342" t="s">
        <v>79</v>
      </c>
      <c r="F37" s="342" t="s">
        <v>224</v>
      </c>
      <c r="G37" s="343">
        <v>3</v>
      </c>
      <c r="H37" s="344">
        <v>70</v>
      </c>
      <c r="I37" s="344">
        <v>70</v>
      </c>
      <c r="J37" s="344">
        <v>140</v>
      </c>
      <c r="K37" s="344">
        <v>300</v>
      </c>
      <c r="L37" s="344">
        <v>30</v>
      </c>
      <c r="M37" s="344">
        <v>70</v>
      </c>
      <c r="N37" s="345">
        <f>SUM(H37:M37)</f>
        <v>680</v>
      </c>
      <c r="O37" s="344">
        <v>2200</v>
      </c>
      <c r="P37" s="317">
        <v>4000</v>
      </c>
      <c r="Q37" s="346" t="s">
        <v>154</v>
      </c>
      <c r="R37" s="347">
        <f>IFERROR(N37+IF(ISNUMBER(O37),O37,0)+IF(ISNUMBER(P37),P37,0),"")</f>
        <v>6880</v>
      </c>
      <c r="S37" s="382" t="s">
        <v>142</v>
      </c>
    </row>
    <row r="38" spans="1:19" ht="22" customHeight="1">
      <c r="A38" s="371" t="str">
        <f>_xlfn.CONCAT("AISK   |   Slovakia (Hamburg)   |   3 条航线   |   两周需求 ", TEXT(SUM(G39:G41),"0.0")," HQ40")</f>
        <v>AISK   |   Slovakia (Hamburg)   |   3 条航线   |   两周需求 2.0 HQ40</v>
      </c>
      <c r="B38" s="348"/>
      <c r="C38" s="348"/>
      <c r="D38" s="348"/>
      <c r="E38" s="348"/>
      <c r="F38" s="348"/>
      <c r="G38" s="348"/>
      <c r="H38" s="348"/>
      <c r="I38" s="348"/>
      <c r="J38" s="348"/>
      <c r="K38" s="348"/>
      <c r="L38" s="348"/>
      <c r="M38" s="348"/>
      <c r="N38" s="348"/>
      <c r="O38" s="348"/>
      <c r="P38" s="348"/>
      <c r="Q38" s="348"/>
      <c r="R38" s="348"/>
      <c r="S38" s="383"/>
    </row>
    <row r="39" spans="1:19" ht="24" customHeight="1">
      <c r="A39" s="372" t="s">
        <v>211</v>
      </c>
      <c r="B39" s="349" t="s">
        <v>286</v>
      </c>
      <c r="C39" s="349" t="s">
        <v>279</v>
      </c>
      <c r="D39" s="349" t="s">
        <v>17</v>
      </c>
      <c r="E39" s="349" t="s">
        <v>79</v>
      </c>
      <c r="F39" s="349" t="s">
        <v>199</v>
      </c>
      <c r="G39" s="350">
        <v>1</v>
      </c>
      <c r="H39" s="351">
        <v>70</v>
      </c>
      <c r="I39" s="351">
        <v>70</v>
      </c>
      <c r="J39" s="351">
        <v>140</v>
      </c>
      <c r="K39" s="351">
        <v>400</v>
      </c>
      <c r="L39" s="351">
        <v>10</v>
      </c>
      <c r="M39" s="351">
        <v>70</v>
      </c>
      <c r="N39" s="352">
        <f>SUM(H39:M39)</f>
        <v>760</v>
      </c>
      <c r="O39" s="351">
        <v>2200</v>
      </c>
      <c r="P39" s="317">
        <v>2000</v>
      </c>
      <c r="Q39" s="353" t="s">
        <v>153</v>
      </c>
      <c r="R39" s="354">
        <f>IFERROR(N39+IF(ISNUMBER(O39),O39,0)+IF(ISNUMBER(P39),P39,0),"")</f>
        <v>4960</v>
      </c>
      <c r="S39" s="384" t="s">
        <v>212</v>
      </c>
    </row>
    <row r="40" spans="1:19" ht="24" customHeight="1">
      <c r="A40" s="372" t="s">
        <v>214</v>
      </c>
      <c r="B40" s="349" t="s">
        <v>288</v>
      </c>
      <c r="C40" s="349" t="s">
        <v>289</v>
      </c>
      <c r="D40" s="349" t="s">
        <v>29</v>
      </c>
      <c r="E40" s="349" t="s">
        <v>79</v>
      </c>
      <c r="F40" s="349" t="s">
        <v>199</v>
      </c>
      <c r="G40" s="350">
        <v>1</v>
      </c>
      <c r="H40" s="351">
        <v>70</v>
      </c>
      <c r="I40" s="351">
        <v>70</v>
      </c>
      <c r="J40" s="351">
        <v>140</v>
      </c>
      <c r="K40" s="351">
        <v>300</v>
      </c>
      <c r="L40" s="351">
        <v>250</v>
      </c>
      <c r="M40" s="351">
        <v>70</v>
      </c>
      <c r="N40" s="352">
        <f>SUM(H40:M40)</f>
        <v>900</v>
      </c>
      <c r="O40" s="351">
        <v>2200</v>
      </c>
      <c r="P40" s="317" t="s">
        <v>221</v>
      </c>
      <c r="Q40" s="353" t="s">
        <v>151</v>
      </c>
      <c r="R40" s="354">
        <f>IFERROR(N40+IF(ISNUMBER(O40),O40,0)+IF(ISNUMBER(P40),P40,0),"")</f>
        <v>3100</v>
      </c>
      <c r="S40" s="384" t="s">
        <v>221</v>
      </c>
    </row>
    <row r="41" spans="1:19" ht="24" customHeight="1" thickBot="1">
      <c r="A41" s="373" t="s">
        <v>215</v>
      </c>
      <c r="B41" s="355" t="s">
        <v>290</v>
      </c>
      <c r="C41" s="355" t="s">
        <v>289</v>
      </c>
      <c r="D41" s="355" t="s">
        <v>56</v>
      </c>
      <c r="E41" s="355" t="s">
        <v>79</v>
      </c>
      <c r="F41" s="355" t="s">
        <v>199</v>
      </c>
      <c r="G41" s="356">
        <v>0</v>
      </c>
      <c r="H41" s="357">
        <v>70</v>
      </c>
      <c r="I41" s="357">
        <v>70</v>
      </c>
      <c r="J41" s="357">
        <v>140</v>
      </c>
      <c r="K41" s="357">
        <v>300</v>
      </c>
      <c r="L41" s="357">
        <v>250</v>
      </c>
      <c r="M41" s="357">
        <v>70</v>
      </c>
      <c r="N41" s="358">
        <f>SUM(H41:M41)</f>
        <v>900</v>
      </c>
      <c r="O41" s="357">
        <v>2200</v>
      </c>
      <c r="P41" s="359">
        <v>4000</v>
      </c>
      <c r="Q41" s="360" t="s">
        <v>154</v>
      </c>
      <c r="R41" s="361">
        <f>IFERROR(N41+IF(ISNUMBER(O41),O41,0)+IF(ISNUMBER(P41),P41,0),"")</f>
        <v>7100</v>
      </c>
      <c r="S41" s="385" t="s">
        <v>142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9DFBE-0267-4221-8727-B156C0F19AFE}">
  <dimension ref="A1:W100"/>
  <sheetViews>
    <sheetView zoomScaleNormal="100" workbookViewId="0">
      <pane ySplit="1" topLeftCell="A2" activePane="bottomLeft" state="frozen"/>
      <selection pane="bottomLeft" activeCell="U22" sqref="U22"/>
    </sheetView>
  </sheetViews>
  <sheetFormatPr baseColWidth="10" defaultColWidth="9" defaultRowHeight="15"/>
  <cols>
    <col min="1" max="1" width="21.6640625" style="32" customWidth="1"/>
    <col min="2" max="2" width="26.6640625" style="39" customWidth="1"/>
    <col min="3" max="3" width="26.6640625" style="38" customWidth="1"/>
    <col min="4" max="5" width="11.6640625" style="37" customWidth="1"/>
    <col min="6" max="6" width="10" style="37" customWidth="1"/>
    <col min="7" max="7" width="10.83203125" style="65" customWidth="1"/>
    <col min="8" max="8" width="9.1640625" style="37" customWidth="1"/>
    <col min="9" max="9" width="8.33203125" style="37" customWidth="1"/>
    <col min="10" max="10" width="9.1640625" style="37" customWidth="1"/>
    <col min="11" max="12" width="10" style="37" customWidth="1"/>
    <col min="13" max="13" width="8.33203125" style="37" customWidth="1"/>
    <col min="14" max="14" width="12.5" style="37" customWidth="1"/>
    <col min="15" max="15" width="10.83203125" style="33" customWidth="1"/>
    <col min="16" max="16" width="11.6640625" style="37" customWidth="1"/>
    <col min="17" max="17" width="13.33203125" style="34" customWidth="1"/>
    <col min="18" max="18" width="13.33203125" style="33" customWidth="1"/>
    <col min="19" max="19" width="14.1640625" style="32" customWidth="1"/>
    <col min="20" max="16384" width="9" style="32"/>
  </cols>
  <sheetData>
    <row r="1" spans="1:23" ht="20" customHeight="1" thickBot="1">
      <c r="A1" s="176" t="s">
        <v>253</v>
      </c>
      <c r="B1" s="177" t="s">
        <v>1</v>
      </c>
      <c r="C1" s="177" t="s">
        <v>2</v>
      </c>
      <c r="D1" s="177" t="s">
        <v>254</v>
      </c>
      <c r="E1" s="177" t="s">
        <v>255</v>
      </c>
      <c r="F1" s="177" t="s">
        <v>190</v>
      </c>
      <c r="G1" s="180" t="s">
        <v>191</v>
      </c>
      <c r="H1" s="177" t="s">
        <v>256</v>
      </c>
      <c r="I1" s="177" t="s">
        <v>257</v>
      </c>
      <c r="J1" s="177" t="s">
        <v>258</v>
      </c>
      <c r="K1" s="177" t="s">
        <v>259</v>
      </c>
      <c r="L1" s="177" t="s">
        <v>260</v>
      </c>
      <c r="M1" s="177" t="s">
        <v>261</v>
      </c>
      <c r="N1" s="177" t="s">
        <v>291</v>
      </c>
      <c r="O1" s="177" t="s">
        <v>292</v>
      </c>
      <c r="P1" s="178" t="s">
        <v>262</v>
      </c>
      <c r="Q1" s="177" t="s">
        <v>263</v>
      </c>
      <c r="R1" s="177" t="s">
        <v>264</v>
      </c>
      <c r="S1" s="179" t="s">
        <v>293</v>
      </c>
      <c r="T1"/>
      <c r="U1"/>
      <c r="V1"/>
      <c r="W1"/>
    </row>
    <row r="2" spans="1:23" ht="22" customHeight="1">
      <c r="A2" s="237" t="s">
        <v>491</v>
      </c>
      <c r="B2" s="238"/>
      <c r="C2" s="238"/>
      <c r="D2" s="238"/>
      <c r="E2" s="238"/>
      <c r="F2" s="238"/>
      <c r="G2" s="238"/>
      <c r="H2" s="238"/>
      <c r="I2" s="238"/>
      <c r="J2" s="238"/>
      <c r="K2" s="238"/>
      <c r="L2" s="238"/>
      <c r="M2" s="238"/>
      <c r="N2" s="238"/>
      <c r="O2" s="238"/>
      <c r="P2" s="238"/>
      <c r="Q2" s="238"/>
      <c r="R2" s="238"/>
      <c r="S2" s="239"/>
      <c r="T2"/>
      <c r="U2"/>
      <c r="V2"/>
      <c r="W2"/>
    </row>
    <row r="3" spans="1:23" ht="24" customHeight="1">
      <c r="A3" s="154" t="s">
        <v>192</v>
      </c>
      <c r="B3" s="155" t="s">
        <v>268</v>
      </c>
      <c r="C3" s="155" t="s">
        <v>269</v>
      </c>
      <c r="D3" s="155" t="s">
        <v>17</v>
      </c>
      <c r="E3" s="155" t="s">
        <v>31</v>
      </c>
      <c r="F3" s="155" t="s">
        <v>194</v>
      </c>
      <c r="G3" s="156">
        <v>16</v>
      </c>
      <c r="H3" s="157">
        <v>70</v>
      </c>
      <c r="I3" s="157">
        <v>70</v>
      </c>
      <c r="J3" s="157">
        <v>140</v>
      </c>
      <c r="K3" s="157">
        <v>400</v>
      </c>
      <c r="L3" s="157">
        <v>10</v>
      </c>
      <c r="M3" s="157">
        <v>70</v>
      </c>
      <c r="N3" s="158">
        <f>SUM(H3:M3)</f>
        <v>760</v>
      </c>
      <c r="O3" s="157">
        <v>950</v>
      </c>
      <c r="P3" s="101">
        <v>2899</v>
      </c>
      <c r="Q3" s="155" t="s">
        <v>195</v>
      </c>
      <c r="R3" s="160">
        <f>IFERROR(N3+IF(ISNUMBER(O3),O3,0)+IF(ISNUMBER(P3),P3,0),"")</f>
        <v>4609</v>
      </c>
      <c r="S3" s="161" t="s">
        <v>196</v>
      </c>
      <c r="T3" s="103"/>
      <c r="U3" s="104"/>
      <c r="V3" s="103"/>
      <c r="W3"/>
    </row>
    <row r="4" spans="1:23" ht="24" customHeight="1">
      <c r="A4" s="154" t="s">
        <v>198</v>
      </c>
      <c r="B4" s="155" t="s">
        <v>270</v>
      </c>
      <c r="C4" s="155" t="s">
        <v>269</v>
      </c>
      <c r="D4" s="155" t="s">
        <v>17</v>
      </c>
      <c r="E4" s="155" t="s">
        <v>31</v>
      </c>
      <c r="F4" s="155" t="s">
        <v>199</v>
      </c>
      <c r="G4" s="156">
        <v>3</v>
      </c>
      <c r="H4" s="157">
        <v>70</v>
      </c>
      <c r="I4" s="157">
        <v>70</v>
      </c>
      <c r="J4" s="157">
        <v>170</v>
      </c>
      <c r="K4" s="157">
        <v>250</v>
      </c>
      <c r="L4" s="157">
        <v>50</v>
      </c>
      <c r="M4" s="157">
        <v>50</v>
      </c>
      <c r="N4" s="158">
        <f>SUM(H4:M4)</f>
        <v>660</v>
      </c>
      <c r="O4" s="157">
        <v>950</v>
      </c>
      <c r="P4" s="101">
        <v>2949</v>
      </c>
      <c r="Q4" s="155" t="s">
        <v>200</v>
      </c>
      <c r="R4" s="160">
        <f>IFERROR(N4+IF(ISNUMBER(O4),O4,0)+IF(ISNUMBER(P4),P4,0),"")</f>
        <v>4559</v>
      </c>
      <c r="S4" s="161" t="s">
        <v>196</v>
      </c>
      <c r="T4" s="103"/>
      <c r="U4" s="104"/>
      <c r="V4" s="103"/>
      <c r="W4"/>
    </row>
    <row r="5" spans="1:23" ht="22" customHeight="1">
      <c r="A5" s="240" t="s">
        <v>478</v>
      </c>
      <c r="B5" s="241"/>
      <c r="C5" s="241"/>
      <c r="D5" s="241"/>
      <c r="E5" s="241"/>
      <c r="F5" s="241"/>
      <c r="G5" s="241"/>
      <c r="H5" s="241"/>
      <c r="I5" s="241"/>
      <c r="J5" s="241"/>
      <c r="K5" s="241"/>
      <c r="L5" s="241"/>
      <c r="M5" s="241"/>
      <c r="N5" s="241"/>
      <c r="O5" s="241"/>
      <c r="P5" s="241"/>
      <c r="Q5" s="241"/>
      <c r="R5" s="241"/>
      <c r="S5" s="242"/>
      <c r="T5"/>
      <c r="U5"/>
      <c r="V5"/>
      <c r="W5"/>
    </row>
    <row r="6" spans="1:23" ht="24" customHeight="1">
      <c r="A6" s="76" t="s">
        <v>228</v>
      </c>
      <c r="B6" s="81" t="s">
        <v>40</v>
      </c>
      <c r="C6" s="81" t="s">
        <v>229</v>
      </c>
      <c r="D6" s="81" t="s">
        <v>39</v>
      </c>
      <c r="E6" s="81" t="s">
        <v>105</v>
      </c>
      <c r="F6" s="81" t="s">
        <v>230</v>
      </c>
      <c r="G6" s="66">
        <v>9</v>
      </c>
      <c r="H6" s="86">
        <v>70</v>
      </c>
      <c r="I6" s="86">
        <v>50</v>
      </c>
      <c r="J6" s="86">
        <v>260</v>
      </c>
      <c r="K6" s="86">
        <v>250</v>
      </c>
      <c r="L6" s="86">
        <v>90</v>
      </c>
      <c r="M6" s="86">
        <v>80</v>
      </c>
      <c r="N6" s="91">
        <f t="shared" ref="N6:N22" si="0">SUM(H6:M6)</f>
        <v>800</v>
      </c>
      <c r="O6" s="86" t="s">
        <v>169</v>
      </c>
      <c r="P6" s="101">
        <v>2430</v>
      </c>
      <c r="Q6" s="81" t="s">
        <v>265</v>
      </c>
      <c r="R6" s="96">
        <f t="shared" ref="R6:R22" si="1">IFERROR(N6+IF(ISNUMBER(O6),O6,0)+IF(ISNUMBER(P6),P6,0),"")</f>
        <v>3230</v>
      </c>
      <c r="S6" s="105" t="s">
        <v>142</v>
      </c>
      <c r="T6" s="103"/>
      <c r="U6" s="104"/>
      <c r="V6" s="103"/>
      <c r="W6"/>
    </row>
    <row r="7" spans="1:23" ht="24" customHeight="1">
      <c r="A7" s="76" t="s">
        <v>231</v>
      </c>
      <c r="B7" s="81" t="s">
        <v>232</v>
      </c>
      <c r="C7" s="81" t="s">
        <v>233</v>
      </c>
      <c r="D7" s="81" t="s">
        <v>56</v>
      </c>
      <c r="E7" s="81" t="s">
        <v>105</v>
      </c>
      <c r="F7" s="81" t="s">
        <v>230</v>
      </c>
      <c r="G7" s="66">
        <v>2</v>
      </c>
      <c r="H7" s="86">
        <v>70</v>
      </c>
      <c r="I7" s="86">
        <v>50</v>
      </c>
      <c r="J7" s="86">
        <v>260</v>
      </c>
      <c r="K7" s="86">
        <v>325</v>
      </c>
      <c r="L7" s="86">
        <v>90</v>
      </c>
      <c r="M7" s="86">
        <v>80</v>
      </c>
      <c r="N7" s="91">
        <f t="shared" si="0"/>
        <v>875</v>
      </c>
      <c r="O7" s="86" t="s">
        <v>169</v>
      </c>
      <c r="P7" s="101">
        <v>2430</v>
      </c>
      <c r="Q7" s="81" t="s">
        <v>265</v>
      </c>
      <c r="R7" s="96">
        <f t="shared" si="1"/>
        <v>3305</v>
      </c>
      <c r="S7" s="105" t="s">
        <v>142</v>
      </c>
      <c r="T7" s="103"/>
      <c r="U7" s="104"/>
      <c r="V7" s="103"/>
      <c r="W7"/>
    </row>
    <row r="8" spans="1:23" ht="24" customHeight="1">
      <c r="A8" s="76" t="s">
        <v>234</v>
      </c>
      <c r="B8" s="81" t="s">
        <v>94</v>
      </c>
      <c r="C8" s="81" t="s">
        <v>235</v>
      </c>
      <c r="D8" s="81" t="s">
        <v>39</v>
      </c>
      <c r="E8" s="81" t="s">
        <v>105</v>
      </c>
      <c r="F8" s="81" t="s">
        <v>230</v>
      </c>
      <c r="G8" s="66">
        <v>1</v>
      </c>
      <c r="H8" s="86">
        <v>70</v>
      </c>
      <c r="I8" s="86">
        <v>50</v>
      </c>
      <c r="J8" s="86">
        <v>260</v>
      </c>
      <c r="K8" s="86">
        <v>250</v>
      </c>
      <c r="L8" s="86">
        <v>90</v>
      </c>
      <c r="M8" s="86">
        <v>80</v>
      </c>
      <c r="N8" s="91">
        <f t="shared" si="0"/>
        <v>800</v>
      </c>
      <c r="O8" s="86" t="s">
        <v>169</v>
      </c>
      <c r="P8" s="101">
        <v>2430</v>
      </c>
      <c r="Q8" s="81" t="s">
        <v>265</v>
      </c>
      <c r="R8" s="96">
        <f t="shared" si="1"/>
        <v>3230</v>
      </c>
      <c r="S8" s="105" t="s">
        <v>142</v>
      </c>
      <c r="T8" s="103"/>
      <c r="U8" s="104"/>
      <c r="V8" s="103"/>
      <c r="W8"/>
    </row>
    <row r="9" spans="1:23" ht="24" customHeight="1">
      <c r="A9" s="76" t="s">
        <v>236</v>
      </c>
      <c r="B9" s="81" t="s">
        <v>102</v>
      </c>
      <c r="C9" s="81" t="s">
        <v>233</v>
      </c>
      <c r="D9" s="81" t="s">
        <v>29</v>
      </c>
      <c r="E9" s="81" t="s">
        <v>105</v>
      </c>
      <c r="F9" s="81" t="s">
        <v>230</v>
      </c>
      <c r="G9" s="66">
        <v>2</v>
      </c>
      <c r="H9" s="86">
        <v>70</v>
      </c>
      <c r="I9" s="86">
        <v>80</v>
      </c>
      <c r="J9" s="86">
        <v>160</v>
      </c>
      <c r="K9" s="86">
        <v>1000</v>
      </c>
      <c r="L9" s="86">
        <v>50</v>
      </c>
      <c r="M9" s="86">
        <v>75</v>
      </c>
      <c r="N9" s="91">
        <f t="shared" si="0"/>
        <v>1435</v>
      </c>
      <c r="O9" s="86" t="s">
        <v>169</v>
      </c>
      <c r="P9" s="101">
        <v>3389</v>
      </c>
      <c r="Q9" s="81" t="s">
        <v>266</v>
      </c>
      <c r="R9" s="96">
        <f t="shared" si="1"/>
        <v>4824</v>
      </c>
      <c r="S9" s="105" t="s">
        <v>140</v>
      </c>
      <c r="T9" s="103"/>
      <c r="U9" s="104"/>
      <c r="V9" s="103"/>
      <c r="W9"/>
    </row>
    <row r="10" spans="1:23" ht="24" customHeight="1">
      <c r="A10" s="76" t="s">
        <v>237</v>
      </c>
      <c r="B10" s="81" t="s">
        <v>103</v>
      </c>
      <c r="C10" s="81" t="s">
        <v>233</v>
      </c>
      <c r="D10" s="81" t="s">
        <v>227</v>
      </c>
      <c r="E10" s="81" t="s">
        <v>105</v>
      </c>
      <c r="F10" s="81" t="s">
        <v>230</v>
      </c>
      <c r="G10" s="66">
        <v>1</v>
      </c>
      <c r="H10" s="86">
        <v>70</v>
      </c>
      <c r="I10" s="86">
        <v>35</v>
      </c>
      <c r="J10" s="86">
        <v>145</v>
      </c>
      <c r="K10" s="86">
        <v>350</v>
      </c>
      <c r="L10" s="86">
        <v>150</v>
      </c>
      <c r="M10" s="86">
        <v>50</v>
      </c>
      <c r="N10" s="91">
        <f t="shared" si="0"/>
        <v>800</v>
      </c>
      <c r="O10" s="86" t="s">
        <v>169</v>
      </c>
      <c r="P10" s="101">
        <v>2800</v>
      </c>
      <c r="Q10" s="81" t="s">
        <v>267</v>
      </c>
      <c r="R10" s="96">
        <f t="shared" si="1"/>
        <v>3600</v>
      </c>
      <c r="S10" s="105" t="s">
        <v>142</v>
      </c>
      <c r="T10" s="103"/>
      <c r="U10" s="104"/>
      <c r="V10" s="103"/>
      <c r="W10"/>
    </row>
    <row r="11" spans="1:23" ht="24" customHeight="1">
      <c r="A11" s="76" t="s">
        <v>238</v>
      </c>
      <c r="B11" s="81" t="s">
        <v>82</v>
      </c>
      <c r="C11" s="81" t="s">
        <v>235</v>
      </c>
      <c r="D11" s="81" t="s">
        <v>17</v>
      </c>
      <c r="E11" s="81" t="s">
        <v>105</v>
      </c>
      <c r="F11" s="81" t="s">
        <v>239</v>
      </c>
      <c r="G11" s="66">
        <v>2</v>
      </c>
      <c r="H11" s="86">
        <v>70</v>
      </c>
      <c r="I11" s="86">
        <v>70</v>
      </c>
      <c r="J11" s="86">
        <v>145</v>
      </c>
      <c r="K11" s="86">
        <v>550</v>
      </c>
      <c r="L11" s="86">
        <v>15</v>
      </c>
      <c r="M11" s="86">
        <v>60</v>
      </c>
      <c r="N11" s="91">
        <f t="shared" si="0"/>
        <v>910</v>
      </c>
      <c r="O11" s="86" t="s">
        <v>169</v>
      </c>
      <c r="P11" s="101">
        <v>2300</v>
      </c>
      <c r="Q11" s="81" t="s">
        <v>219</v>
      </c>
      <c r="R11" s="96">
        <f t="shared" si="1"/>
        <v>3210</v>
      </c>
      <c r="S11" s="105" t="s">
        <v>141</v>
      </c>
      <c r="T11" s="103"/>
      <c r="U11" s="104"/>
      <c r="V11" s="103"/>
      <c r="W11"/>
    </row>
    <row r="12" spans="1:23" ht="24" customHeight="1">
      <c r="A12" s="76" t="s">
        <v>240</v>
      </c>
      <c r="B12" s="81" t="s">
        <v>83</v>
      </c>
      <c r="C12" s="81" t="s">
        <v>235</v>
      </c>
      <c r="D12" s="81" t="s">
        <v>17</v>
      </c>
      <c r="E12" s="81" t="s">
        <v>105</v>
      </c>
      <c r="F12" s="81" t="s">
        <v>230</v>
      </c>
      <c r="G12" s="66">
        <v>1</v>
      </c>
      <c r="H12" s="86">
        <v>70</v>
      </c>
      <c r="I12" s="86">
        <v>70</v>
      </c>
      <c r="J12" s="86">
        <v>145</v>
      </c>
      <c r="K12" s="86">
        <v>550</v>
      </c>
      <c r="L12" s="86">
        <v>15</v>
      </c>
      <c r="M12" s="86">
        <v>60</v>
      </c>
      <c r="N12" s="91">
        <f t="shared" si="0"/>
        <v>910</v>
      </c>
      <c r="O12" s="86" t="s">
        <v>169</v>
      </c>
      <c r="P12" s="101">
        <v>2300</v>
      </c>
      <c r="Q12" s="81" t="s">
        <v>219</v>
      </c>
      <c r="R12" s="96">
        <f t="shared" si="1"/>
        <v>3210</v>
      </c>
      <c r="S12" s="105" t="s">
        <v>141</v>
      </c>
      <c r="T12" s="103"/>
      <c r="U12" s="104"/>
      <c r="V12" s="103"/>
      <c r="W12"/>
    </row>
    <row r="13" spans="1:23" ht="24" customHeight="1">
      <c r="A13" s="76" t="s">
        <v>241</v>
      </c>
      <c r="B13" s="81" t="s">
        <v>84</v>
      </c>
      <c r="C13" s="81" t="s">
        <v>235</v>
      </c>
      <c r="D13" s="81" t="s">
        <v>17</v>
      </c>
      <c r="E13" s="81" t="s">
        <v>105</v>
      </c>
      <c r="F13" s="81" t="s">
        <v>230</v>
      </c>
      <c r="G13" s="66">
        <v>0.5</v>
      </c>
      <c r="H13" s="86">
        <v>70</v>
      </c>
      <c r="I13" s="86">
        <v>70</v>
      </c>
      <c r="J13" s="86">
        <v>145</v>
      </c>
      <c r="K13" s="86">
        <v>550</v>
      </c>
      <c r="L13" s="86">
        <v>15</v>
      </c>
      <c r="M13" s="86">
        <v>60</v>
      </c>
      <c r="N13" s="91">
        <f t="shared" si="0"/>
        <v>910</v>
      </c>
      <c r="O13" s="86" t="s">
        <v>169</v>
      </c>
      <c r="P13" s="101">
        <v>2300</v>
      </c>
      <c r="Q13" s="81" t="s">
        <v>219</v>
      </c>
      <c r="R13" s="96">
        <f t="shared" si="1"/>
        <v>3210</v>
      </c>
      <c r="S13" s="105" t="s">
        <v>141</v>
      </c>
      <c r="T13" s="103"/>
      <c r="U13" s="104"/>
      <c r="V13" s="103"/>
      <c r="W13"/>
    </row>
    <row r="14" spans="1:23" ht="24" customHeight="1">
      <c r="A14" s="76" t="s">
        <v>242</v>
      </c>
      <c r="B14" s="81" t="s">
        <v>85</v>
      </c>
      <c r="C14" s="81" t="s">
        <v>235</v>
      </c>
      <c r="D14" s="81" t="s">
        <v>17</v>
      </c>
      <c r="E14" s="81" t="s">
        <v>105</v>
      </c>
      <c r="F14" s="81" t="s">
        <v>230</v>
      </c>
      <c r="G14" s="66">
        <v>2</v>
      </c>
      <c r="H14" s="86">
        <v>70</v>
      </c>
      <c r="I14" s="86">
        <v>70</v>
      </c>
      <c r="J14" s="86">
        <v>145</v>
      </c>
      <c r="K14" s="86">
        <v>250</v>
      </c>
      <c r="L14" s="86">
        <v>15</v>
      </c>
      <c r="M14" s="86">
        <v>60</v>
      </c>
      <c r="N14" s="91">
        <f t="shared" si="0"/>
        <v>610</v>
      </c>
      <c r="O14" s="86" t="s">
        <v>169</v>
      </c>
      <c r="P14" s="101">
        <v>2300</v>
      </c>
      <c r="Q14" s="81" t="s">
        <v>219</v>
      </c>
      <c r="R14" s="96">
        <f t="shared" si="1"/>
        <v>2910</v>
      </c>
      <c r="S14" s="105" t="s">
        <v>141</v>
      </c>
      <c r="T14" s="103"/>
      <c r="U14" s="104"/>
      <c r="V14" s="103"/>
      <c r="W14"/>
    </row>
    <row r="15" spans="1:23" ht="24" customHeight="1">
      <c r="A15" s="76" t="s">
        <v>243</v>
      </c>
      <c r="B15" s="81" t="s">
        <v>86</v>
      </c>
      <c r="C15" s="81" t="s">
        <v>235</v>
      </c>
      <c r="D15" s="81" t="s">
        <v>17</v>
      </c>
      <c r="E15" s="81" t="s">
        <v>105</v>
      </c>
      <c r="F15" s="81" t="s">
        <v>230</v>
      </c>
      <c r="G15" s="66">
        <v>2</v>
      </c>
      <c r="H15" s="86">
        <v>70</v>
      </c>
      <c r="I15" s="86">
        <v>70</v>
      </c>
      <c r="J15" s="86">
        <v>145</v>
      </c>
      <c r="K15" s="86">
        <v>200</v>
      </c>
      <c r="L15" s="86">
        <v>15</v>
      </c>
      <c r="M15" s="86">
        <v>50</v>
      </c>
      <c r="N15" s="91">
        <f t="shared" si="0"/>
        <v>550</v>
      </c>
      <c r="O15" s="86" t="s">
        <v>169</v>
      </c>
      <c r="P15" s="101">
        <v>2300</v>
      </c>
      <c r="Q15" s="81" t="s">
        <v>219</v>
      </c>
      <c r="R15" s="96">
        <f t="shared" si="1"/>
        <v>2850</v>
      </c>
      <c r="S15" s="105" t="s">
        <v>141</v>
      </c>
      <c r="T15" s="103"/>
      <c r="U15" s="104"/>
      <c r="V15" s="103"/>
      <c r="W15"/>
    </row>
    <row r="16" spans="1:23" ht="24" customHeight="1">
      <c r="A16" s="76" t="s">
        <v>244</v>
      </c>
      <c r="B16" s="81" t="s">
        <v>87</v>
      </c>
      <c r="C16" s="81" t="s">
        <v>235</v>
      </c>
      <c r="D16" s="81" t="s">
        <v>17</v>
      </c>
      <c r="E16" s="81" t="s">
        <v>105</v>
      </c>
      <c r="F16" s="81" t="s">
        <v>230</v>
      </c>
      <c r="G16" s="66">
        <v>0.5</v>
      </c>
      <c r="H16" s="86">
        <v>70</v>
      </c>
      <c r="I16" s="86">
        <v>70</v>
      </c>
      <c r="J16" s="86">
        <v>145</v>
      </c>
      <c r="K16" s="86">
        <v>1550</v>
      </c>
      <c r="L16" s="86">
        <v>15</v>
      </c>
      <c r="M16" s="86">
        <v>60</v>
      </c>
      <c r="N16" s="91">
        <f t="shared" si="0"/>
        <v>1910</v>
      </c>
      <c r="O16" s="86" t="s">
        <v>169</v>
      </c>
      <c r="P16" s="101">
        <v>2300</v>
      </c>
      <c r="Q16" s="81" t="s">
        <v>219</v>
      </c>
      <c r="R16" s="96">
        <f t="shared" si="1"/>
        <v>4210</v>
      </c>
      <c r="S16" s="105" t="s">
        <v>141</v>
      </c>
      <c r="T16" s="103"/>
      <c r="U16" s="104"/>
      <c r="V16" s="103"/>
      <c r="W16"/>
    </row>
    <row r="17" spans="1:23" ht="24" customHeight="1">
      <c r="A17" s="76" t="s">
        <v>245</v>
      </c>
      <c r="B17" s="81" t="s">
        <v>97</v>
      </c>
      <c r="C17" s="81" t="s">
        <v>233</v>
      </c>
      <c r="D17" s="81" t="s">
        <v>17</v>
      </c>
      <c r="E17" s="81" t="s">
        <v>105</v>
      </c>
      <c r="F17" s="81" t="s">
        <v>230</v>
      </c>
      <c r="G17" s="66">
        <v>1</v>
      </c>
      <c r="H17" s="86">
        <v>70</v>
      </c>
      <c r="I17" s="86">
        <v>70</v>
      </c>
      <c r="J17" s="86">
        <v>145</v>
      </c>
      <c r="K17" s="86">
        <v>350</v>
      </c>
      <c r="L17" s="86">
        <v>15</v>
      </c>
      <c r="M17" s="86">
        <v>60</v>
      </c>
      <c r="N17" s="91">
        <f t="shared" si="0"/>
        <v>710</v>
      </c>
      <c r="O17" s="86" t="s">
        <v>169</v>
      </c>
      <c r="P17" s="101">
        <v>2300</v>
      </c>
      <c r="Q17" s="81" t="s">
        <v>219</v>
      </c>
      <c r="R17" s="96">
        <f t="shared" si="1"/>
        <v>3010</v>
      </c>
      <c r="S17" s="105" t="s">
        <v>141</v>
      </c>
      <c r="T17" s="103"/>
      <c r="U17" s="104"/>
      <c r="V17" s="103"/>
      <c r="W17"/>
    </row>
    <row r="18" spans="1:23" ht="24" customHeight="1">
      <c r="A18" s="76" t="s">
        <v>246</v>
      </c>
      <c r="B18" s="81" t="s">
        <v>247</v>
      </c>
      <c r="C18" s="81" t="s">
        <v>233</v>
      </c>
      <c r="D18" s="81" t="s">
        <v>44</v>
      </c>
      <c r="E18" s="81" t="s">
        <v>105</v>
      </c>
      <c r="F18" s="81" t="s">
        <v>230</v>
      </c>
      <c r="G18" s="66">
        <v>1</v>
      </c>
      <c r="H18" s="86">
        <v>70</v>
      </c>
      <c r="I18" s="86">
        <v>70</v>
      </c>
      <c r="J18" s="86">
        <v>145</v>
      </c>
      <c r="K18" s="86">
        <v>200</v>
      </c>
      <c r="L18" s="86">
        <v>15</v>
      </c>
      <c r="M18" s="86">
        <v>50</v>
      </c>
      <c r="N18" s="91">
        <f t="shared" si="0"/>
        <v>550</v>
      </c>
      <c r="O18" s="86" t="s">
        <v>169</v>
      </c>
      <c r="P18" s="101">
        <v>2680</v>
      </c>
      <c r="Q18" s="81" t="s">
        <v>222</v>
      </c>
      <c r="R18" s="96">
        <f t="shared" si="1"/>
        <v>3230</v>
      </c>
      <c r="S18" s="105" t="s">
        <v>142</v>
      </c>
      <c r="T18" s="103"/>
      <c r="U18" s="104"/>
      <c r="V18" s="103"/>
      <c r="W18"/>
    </row>
    <row r="19" spans="1:23" ht="24" customHeight="1">
      <c r="A19" s="76" t="s">
        <v>248</v>
      </c>
      <c r="B19" s="81" t="s">
        <v>98</v>
      </c>
      <c r="C19" s="81" t="s">
        <v>233</v>
      </c>
      <c r="D19" s="81" t="s">
        <v>17</v>
      </c>
      <c r="E19" s="81" t="s">
        <v>105</v>
      </c>
      <c r="F19" s="81" t="s">
        <v>239</v>
      </c>
      <c r="G19" s="66">
        <v>1</v>
      </c>
      <c r="H19" s="86">
        <v>70</v>
      </c>
      <c r="I19" s="86">
        <v>70</v>
      </c>
      <c r="J19" s="86">
        <v>145</v>
      </c>
      <c r="K19" s="86">
        <v>50</v>
      </c>
      <c r="L19" s="86">
        <v>15</v>
      </c>
      <c r="M19" s="86">
        <v>60</v>
      </c>
      <c r="N19" s="91">
        <f t="shared" si="0"/>
        <v>410</v>
      </c>
      <c r="O19" s="86" t="s">
        <v>169</v>
      </c>
      <c r="P19" s="101">
        <v>2300</v>
      </c>
      <c r="Q19" s="81" t="s">
        <v>219</v>
      </c>
      <c r="R19" s="96">
        <f t="shared" si="1"/>
        <v>2710</v>
      </c>
      <c r="S19" s="105" t="s">
        <v>141</v>
      </c>
      <c r="T19" s="103"/>
      <c r="U19" s="104"/>
      <c r="V19" s="103"/>
      <c r="W19"/>
    </row>
    <row r="20" spans="1:23" ht="24" customHeight="1">
      <c r="A20" s="76" t="s">
        <v>249</v>
      </c>
      <c r="B20" s="81" t="s">
        <v>250</v>
      </c>
      <c r="C20" s="81" t="s">
        <v>235</v>
      </c>
      <c r="D20" s="81" t="s">
        <v>17</v>
      </c>
      <c r="E20" s="81" t="s">
        <v>105</v>
      </c>
      <c r="F20" s="81" t="s">
        <v>230</v>
      </c>
      <c r="G20" s="66">
        <v>1</v>
      </c>
      <c r="H20" s="86">
        <v>70</v>
      </c>
      <c r="I20" s="86">
        <v>70</v>
      </c>
      <c r="J20" s="86">
        <v>145</v>
      </c>
      <c r="K20" s="86">
        <v>550</v>
      </c>
      <c r="L20" s="86">
        <v>15</v>
      </c>
      <c r="M20" s="86">
        <v>60</v>
      </c>
      <c r="N20" s="91">
        <f t="shared" si="0"/>
        <v>910</v>
      </c>
      <c r="O20" s="86" t="s">
        <v>169</v>
      </c>
      <c r="P20" s="101">
        <v>2300</v>
      </c>
      <c r="Q20" s="81" t="s">
        <v>219</v>
      </c>
      <c r="R20" s="96">
        <f t="shared" si="1"/>
        <v>3210</v>
      </c>
      <c r="S20" s="105" t="s">
        <v>141</v>
      </c>
      <c r="T20" s="103"/>
      <c r="U20" s="104"/>
      <c r="V20" s="103"/>
      <c r="W20"/>
    </row>
    <row r="21" spans="1:23" ht="24" customHeight="1">
      <c r="A21" s="76" t="s">
        <v>251</v>
      </c>
      <c r="B21" s="81" t="s">
        <v>99</v>
      </c>
      <c r="C21" s="81" t="s">
        <v>233</v>
      </c>
      <c r="D21" s="81" t="s">
        <v>17</v>
      </c>
      <c r="E21" s="81" t="s">
        <v>105</v>
      </c>
      <c r="F21" s="81" t="s">
        <v>230</v>
      </c>
      <c r="G21" s="66">
        <v>2</v>
      </c>
      <c r="H21" s="86">
        <v>70</v>
      </c>
      <c r="I21" s="86">
        <v>70</v>
      </c>
      <c r="J21" s="86">
        <v>145</v>
      </c>
      <c r="K21" s="86">
        <v>550</v>
      </c>
      <c r="L21" s="86">
        <v>15</v>
      </c>
      <c r="M21" s="86">
        <v>60</v>
      </c>
      <c r="N21" s="91">
        <f t="shared" si="0"/>
        <v>910</v>
      </c>
      <c r="O21" s="86" t="s">
        <v>169</v>
      </c>
      <c r="P21" s="101">
        <v>2300</v>
      </c>
      <c r="Q21" s="81" t="s">
        <v>219</v>
      </c>
      <c r="R21" s="96">
        <f t="shared" si="1"/>
        <v>3210</v>
      </c>
      <c r="S21" s="105" t="s">
        <v>141</v>
      </c>
      <c r="T21" s="103"/>
      <c r="U21" s="104"/>
      <c r="V21" s="103"/>
      <c r="W21"/>
    </row>
    <row r="22" spans="1:23" ht="24" customHeight="1">
      <c r="A22" s="76" t="s">
        <v>252</v>
      </c>
      <c r="B22" s="81" t="s">
        <v>100</v>
      </c>
      <c r="C22" s="81" t="s">
        <v>233</v>
      </c>
      <c r="D22" s="81" t="s">
        <v>17</v>
      </c>
      <c r="E22" s="81" t="s">
        <v>105</v>
      </c>
      <c r="F22" s="81" t="s">
        <v>230</v>
      </c>
      <c r="G22" s="66">
        <v>2</v>
      </c>
      <c r="H22" s="86">
        <v>70</v>
      </c>
      <c r="I22" s="86">
        <v>70</v>
      </c>
      <c r="J22" s="86">
        <v>145</v>
      </c>
      <c r="K22" s="86">
        <v>1500</v>
      </c>
      <c r="L22" s="86">
        <v>15</v>
      </c>
      <c r="M22" s="86">
        <v>60</v>
      </c>
      <c r="N22" s="91">
        <f t="shared" si="0"/>
        <v>1860</v>
      </c>
      <c r="O22" s="86" t="s">
        <v>169</v>
      </c>
      <c r="P22" s="101">
        <v>2300</v>
      </c>
      <c r="Q22" s="81" t="s">
        <v>219</v>
      </c>
      <c r="R22" s="96">
        <f t="shared" si="1"/>
        <v>4160</v>
      </c>
      <c r="S22" s="105" t="s">
        <v>141</v>
      </c>
      <c r="T22" s="103"/>
      <c r="U22" s="104"/>
      <c r="V22" s="103"/>
      <c r="W22"/>
    </row>
    <row r="23" spans="1:23" ht="22" customHeight="1">
      <c r="A23" s="243" t="s">
        <v>492</v>
      </c>
      <c r="B23" s="244"/>
      <c r="C23" s="244"/>
      <c r="D23" s="244"/>
      <c r="E23" s="244"/>
      <c r="F23" s="244"/>
      <c r="G23" s="244"/>
      <c r="H23" s="244"/>
      <c r="I23" s="244"/>
      <c r="J23" s="244"/>
      <c r="K23" s="244"/>
      <c r="L23" s="244"/>
      <c r="M23" s="244"/>
      <c r="N23" s="244"/>
      <c r="O23" s="244"/>
      <c r="P23" s="244"/>
      <c r="Q23" s="244"/>
      <c r="R23" s="244"/>
      <c r="S23" s="245"/>
      <c r="T23"/>
      <c r="U23"/>
      <c r="V23"/>
      <c r="W23"/>
    </row>
    <row r="24" spans="1:23" ht="24" customHeight="1">
      <c r="A24" s="77" t="s">
        <v>201</v>
      </c>
      <c r="B24" s="82" t="s">
        <v>268</v>
      </c>
      <c r="C24" s="82" t="s">
        <v>280</v>
      </c>
      <c r="D24" s="82" t="s">
        <v>17</v>
      </c>
      <c r="E24" s="82" t="s">
        <v>18</v>
      </c>
      <c r="F24" s="82" t="s">
        <v>199</v>
      </c>
      <c r="G24" s="67">
        <v>2</v>
      </c>
      <c r="H24" s="87">
        <v>70</v>
      </c>
      <c r="I24" s="87">
        <v>70</v>
      </c>
      <c r="J24" s="87">
        <v>140</v>
      </c>
      <c r="K24" s="87">
        <v>400</v>
      </c>
      <c r="L24" s="87">
        <v>10</v>
      </c>
      <c r="M24" s="87">
        <v>70</v>
      </c>
      <c r="N24" s="92">
        <f>SUM(H24:M24)</f>
        <v>760</v>
      </c>
      <c r="O24" s="87">
        <v>2685</v>
      </c>
      <c r="P24" s="101">
        <v>3249</v>
      </c>
      <c r="Q24" s="82" t="s">
        <v>151</v>
      </c>
      <c r="R24" s="97">
        <f>IFERROR(N24+IF(ISNUMBER(O24),O24,0)+IF(ISNUMBER(P24),P24,0),"")</f>
        <v>6694</v>
      </c>
      <c r="S24" s="106" t="s">
        <v>140</v>
      </c>
      <c r="T24" s="103"/>
      <c r="U24" s="104"/>
      <c r="V24" s="103"/>
      <c r="W24"/>
    </row>
    <row r="25" spans="1:23" ht="24" customHeight="1">
      <c r="A25" s="77" t="s">
        <v>204</v>
      </c>
      <c r="B25" s="82" t="s">
        <v>271</v>
      </c>
      <c r="C25" s="82" t="s">
        <v>281</v>
      </c>
      <c r="D25" s="82" t="s">
        <v>17</v>
      </c>
      <c r="E25" s="82" t="s">
        <v>23</v>
      </c>
      <c r="F25" s="82" t="s">
        <v>199</v>
      </c>
      <c r="G25" s="67">
        <v>0</v>
      </c>
      <c r="H25" s="87">
        <v>70</v>
      </c>
      <c r="I25" s="87">
        <v>70</v>
      </c>
      <c r="J25" s="87">
        <v>140</v>
      </c>
      <c r="K25" s="87">
        <v>250</v>
      </c>
      <c r="L25" s="87">
        <v>10</v>
      </c>
      <c r="M25" s="87">
        <v>70</v>
      </c>
      <c r="N25" s="92">
        <f>SUM(H25:M25)</f>
        <v>610</v>
      </c>
      <c r="O25" s="87">
        <v>885</v>
      </c>
      <c r="P25" s="101">
        <v>4169</v>
      </c>
      <c r="Q25" s="82" t="s">
        <v>151</v>
      </c>
      <c r="R25" s="97">
        <f>IFERROR(N25+IF(ISNUMBER(O25),O25,0)+IF(ISNUMBER(P25),P25,0),"")</f>
        <v>5664</v>
      </c>
      <c r="S25" s="106" t="s">
        <v>140</v>
      </c>
      <c r="T25" s="103"/>
      <c r="U25" s="104"/>
      <c r="V25" s="103"/>
      <c r="W25"/>
    </row>
    <row r="26" spans="1:23" ht="24" customHeight="1">
      <c r="A26" s="77" t="s">
        <v>205</v>
      </c>
      <c r="B26" s="82" t="s">
        <v>275</v>
      </c>
      <c r="C26" s="82" t="s">
        <v>282</v>
      </c>
      <c r="D26" s="82" t="s">
        <v>39</v>
      </c>
      <c r="E26" s="82" t="s">
        <v>27</v>
      </c>
      <c r="F26" s="82" t="s">
        <v>194</v>
      </c>
      <c r="G26" s="67">
        <v>3</v>
      </c>
      <c r="H26" s="87">
        <v>70</v>
      </c>
      <c r="I26" s="87">
        <v>70</v>
      </c>
      <c r="J26" s="87">
        <v>140</v>
      </c>
      <c r="K26" s="87">
        <v>300</v>
      </c>
      <c r="L26" s="87">
        <v>30</v>
      </c>
      <c r="M26" s="87">
        <v>70</v>
      </c>
      <c r="N26" s="92">
        <f>SUM(H26:M26)</f>
        <v>680</v>
      </c>
      <c r="O26" s="87">
        <v>2785</v>
      </c>
      <c r="P26" s="101">
        <v>3830</v>
      </c>
      <c r="Q26" s="82" t="s">
        <v>151</v>
      </c>
      <c r="R26" s="97">
        <f>IFERROR(N26+IF(ISNUMBER(O26),O26,0)+IF(ISNUMBER(P26),P26,0),"")</f>
        <v>7295</v>
      </c>
      <c r="S26" s="106" t="s">
        <v>140</v>
      </c>
      <c r="T26" s="103"/>
      <c r="U26" s="104"/>
      <c r="V26" s="103"/>
      <c r="W26"/>
    </row>
    <row r="27" spans="1:23" ht="24" customHeight="1">
      <c r="A27" s="77" t="s">
        <v>207</v>
      </c>
      <c r="B27" s="82" t="s">
        <v>283</v>
      </c>
      <c r="C27" s="82" t="s">
        <v>284</v>
      </c>
      <c r="D27" s="82" t="s">
        <v>29</v>
      </c>
      <c r="E27" s="82" t="s">
        <v>27</v>
      </c>
      <c r="F27" s="82" t="s">
        <v>194</v>
      </c>
      <c r="G27" s="67">
        <v>1</v>
      </c>
      <c r="H27" s="87">
        <v>70</v>
      </c>
      <c r="I27" s="87">
        <v>80</v>
      </c>
      <c r="J27" s="87">
        <v>160</v>
      </c>
      <c r="K27" s="87">
        <v>1000</v>
      </c>
      <c r="L27" s="87">
        <v>50</v>
      </c>
      <c r="M27" s="87">
        <v>75</v>
      </c>
      <c r="N27" s="92">
        <f>SUM(H27:M27)</f>
        <v>1435</v>
      </c>
      <c r="O27" s="87">
        <v>2785</v>
      </c>
      <c r="P27" s="101">
        <v>2999</v>
      </c>
      <c r="Q27" s="82" t="s">
        <v>208</v>
      </c>
      <c r="R27" s="97">
        <f>IFERROR(N27+IF(ISNUMBER(O27),O27,0)+IF(ISNUMBER(P27),P27,0),"")</f>
        <v>7219</v>
      </c>
      <c r="S27" s="106" t="s">
        <v>140</v>
      </c>
      <c r="T27" s="103"/>
      <c r="U27" s="104"/>
      <c r="V27" s="103"/>
      <c r="W27"/>
    </row>
    <row r="28" spans="1:23" ht="24" customHeight="1">
      <c r="A28" s="77" t="s">
        <v>209</v>
      </c>
      <c r="B28" s="82" t="s">
        <v>268</v>
      </c>
      <c r="C28" s="82" t="s">
        <v>284</v>
      </c>
      <c r="D28" s="82" t="s">
        <v>17</v>
      </c>
      <c r="E28" s="82" t="s">
        <v>27</v>
      </c>
      <c r="F28" s="82" t="s">
        <v>194</v>
      </c>
      <c r="G28" s="67">
        <v>2</v>
      </c>
      <c r="H28" s="87">
        <v>70</v>
      </c>
      <c r="I28" s="87">
        <v>70</v>
      </c>
      <c r="J28" s="87">
        <v>140</v>
      </c>
      <c r="K28" s="87">
        <v>400</v>
      </c>
      <c r="L28" s="87">
        <v>10</v>
      </c>
      <c r="M28" s="87">
        <v>70</v>
      </c>
      <c r="N28" s="92">
        <f>SUM(H28:M28)</f>
        <v>760</v>
      </c>
      <c r="O28" s="87">
        <v>2785</v>
      </c>
      <c r="P28" s="101">
        <v>3250</v>
      </c>
      <c r="Q28" s="82" t="s">
        <v>210</v>
      </c>
      <c r="R28" s="97">
        <f>IFERROR(N28+IF(ISNUMBER(O28),O28,0)+IF(ISNUMBER(P28),P28,0),"")</f>
        <v>6795</v>
      </c>
      <c r="S28" s="106" t="s">
        <v>140</v>
      </c>
      <c r="T28" s="103"/>
      <c r="U28" s="104"/>
      <c r="V28" s="103"/>
      <c r="W28"/>
    </row>
    <row r="29" spans="1:23" ht="22" customHeight="1">
      <c r="A29" s="246" t="s">
        <v>493</v>
      </c>
      <c r="B29" s="247"/>
      <c r="C29" s="247"/>
      <c r="D29" s="247"/>
      <c r="E29" s="247"/>
      <c r="F29" s="247"/>
      <c r="G29" s="247"/>
      <c r="H29" s="247"/>
      <c r="I29" s="247"/>
      <c r="J29" s="247"/>
      <c r="K29" s="247"/>
      <c r="L29" s="247"/>
      <c r="M29" s="247"/>
      <c r="N29" s="247"/>
      <c r="O29" s="247"/>
      <c r="P29" s="247"/>
      <c r="Q29" s="247"/>
      <c r="R29" s="247"/>
      <c r="S29" s="248"/>
      <c r="T29"/>
      <c r="U29"/>
      <c r="V29"/>
      <c r="W29"/>
    </row>
    <row r="30" spans="1:23" ht="24" customHeight="1">
      <c r="A30" s="162" t="s">
        <v>225</v>
      </c>
      <c r="B30" s="163" t="s">
        <v>285</v>
      </c>
      <c r="C30" s="163" t="s">
        <v>286</v>
      </c>
      <c r="D30" s="163" t="s">
        <v>56</v>
      </c>
      <c r="E30" s="163" t="s">
        <v>17</v>
      </c>
      <c r="F30" s="163" t="s">
        <v>199</v>
      </c>
      <c r="G30" s="164">
        <v>3</v>
      </c>
      <c r="H30" s="165">
        <v>70</v>
      </c>
      <c r="I30" s="165">
        <v>50</v>
      </c>
      <c r="J30" s="165">
        <v>260</v>
      </c>
      <c r="K30" s="165">
        <v>325</v>
      </c>
      <c r="L30" s="165">
        <v>90</v>
      </c>
      <c r="M30" s="165">
        <v>80</v>
      </c>
      <c r="N30" s="166">
        <f>SUM(H30:M30)</f>
        <v>875</v>
      </c>
      <c r="O30" s="165">
        <v>600</v>
      </c>
      <c r="P30" s="101">
        <v>1</v>
      </c>
      <c r="Q30" s="163" t="s">
        <v>155</v>
      </c>
      <c r="R30" s="168">
        <f>IFERROR(N30+IF(ISNUMBER(O30),O30,0)+IF(ISNUMBER(P30),P30,0),"")</f>
        <v>1476</v>
      </c>
      <c r="S30" s="169" t="s">
        <v>131</v>
      </c>
      <c r="T30" s="103"/>
      <c r="U30" s="104"/>
      <c r="V30" s="103"/>
      <c r="W30"/>
    </row>
    <row r="31" spans="1:23" ht="24" customHeight="1">
      <c r="A31" s="162" t="s">
        <v>226</v>
      </c>
      <c r="B31" s="163" t="s">
        <v>287</v>
      </c>
      <c r="C31" s="163" t="s">
        <v>286</v>
      </c>
      <c r="D31" s="163" t="s">
        <v>227</v>
      </c>
      <c r="E31" s="163" t="s">
        <v>17</v>
      </c>
      <c r="F31" s="163" t="s">
        <v>199</v>
      </c>
      <c r="G31" s="164">
        <v>3</v>
      </c>
      <c r="H31" s="165">
        <v>50</v>
      </c>
      <c r="I31" s="165">
        <v>35</v>
      </c>
      <c r="J31" s="165">
        <v>125</v>
      </c>
      <c r="K31" s="165">
        <v>280</v>
      </c>
      <c r="L31" s="165">
        <v>150</v>
      </c>
      <c r="M31" s="165">
        <v>50</v>
      </c>
      <c r="N31" s="166">
        <f>SUM(H31:M31)</f>
        <v>690</v>
      </c>
      <c r="O31" s="165">
        <v>600</v>
      </c>
      <c r="P31" s="101">
        <v>1</v>
      </c>
      <c r="Q31" s="163" t="s">
        <v>156</v>
      </c>
      <c r="R31" s="168">
        <f>IFERROR(N31+IF(ISNUMBER(O31),O31,0)+IF(ISNUMBER(P31),P31,0),"")</f>
        <v>1291</v>
      </c>
      <c r="S31" s="169" t="s">
        <v>131</v>
      </c>
      <c r="T31" s="103"/>
      <c r="U31" s="104"/>
      <c r="V31" s="103"/>
      <c r="W31"/>
    </row>
    <row r="32" spans="1:23" ht="22" customHeight="1">
      <c r="A32" s="249" t="s">
        <v>481</v>
      </c>
      <c r="B32" s="250"/>
      <c r="C32" s="250"/>
      <c r="D32" s="250"/>
      <c r="E32" s="250"/>
      <c r="F32" s="250"/>
      <c r="G32" s="250"/>
      <c r="H32" s="250"/>
      <c r="I32" s="250"/>
      <c r="J32" s="250"/>
      <c r="K32" s="250"/>
      <c r="L32" s="250"/>
      <c r="M32" s="250"/>
      <c r="N32" s="250"/>
      <c r="O32" s="250"/>
      <c r="P32" s="250"/>
      <c r="Q32" s="250"/>
      <c r="R32" s="250"/>
      <c r="S32" s="251"/>
      <c r="T32"/>
      <c r="U32"/>
      <c r="V32"/>
      <c r="W32"/>
    </row>
    <row r="33" spans="1:23" ht="24" customHeight="1">
      <c r="A33" s="78" t="s">
        <v>216</v>
      </c>
      <c r="B33" s="83" t="s">
        <v>271</v>
      </c>
      <c r="C33" s="83" t="s">
        <v>272</v>
      </c>
      <c r="D33" s="83" t="s">
        <v>17</v>
      </c>
      <c r="E33" s="83" t="s">
        <v>39</v>
      </c>
      <c r="F33" s="83" t="s">
        <v>199</v>
      </c>
      <c r="G33" s="68">
        <v>1</v>
      </c>
      <c r="H33" s="88">
        <v>70</v>
      </c>
      <c r="I33" s="88">
        <v>70</v>
      </c>
      <c r="J33" s="88">
        <v>140</v>
      </c>
      <c r="K33" s="88">
        <v>250</v>
      </c>
      <c r="L33" s="88">
        <v>10</v>
      </c>
      <c r="M33" s="88">
        <v>70</v>
      </c>
      <c r="N33" s="93">
        <f>SUM(H33:M33)</f>
        <v>610</v>
      </c>
      <c r="O33" s="88">
        <v>800</v>
      </c>
      <c r="P33" s="101">
        <v>1230</v>
      </c>
      <c r="Q33" s="83" t="s">
        <v>155</v>
      </c>
      <c r="R33" s="98">
        <f>IFERROR(N33+IF(ISNUMBER(O33),O33,0)+IF(ISNUMBER(P33),P33,0),"")</f>
        <v>2640</v>
      </c>
      <c r="S33" s="107" t="s">
        <v>142</v>
      </c>
      <c r="T33" s="103"/>
      <c r="U33" s="104"/>
      <c r="V33" s="103"/>
      <c r="W33"/>
    </row>
    <row r="34" spans="1:23" ht="24" customHeight="1">
      <c r="A34" s="78" t="s">
        <v>273</v>
      </c>
      <c r="B34" s="83" t="s">
        <v>274</v>
      </c>
      <c r="C34" s="83" t="s">
        <v>275</v>
      </c>
      <c r="D34" s="83" t="s">
        <v>17</v>
      </c>
      <c r="E34" s="83" t="s">
        <v>39</v>
      </c>
      <c r="F34" s="83" t="s">
        <v>199</v>
      </c>
      <c r="G34" s="68">
        <v>3</v>
      </c>
      <c r="H34" s="88">
        <v>70</v>
      </c>
      <c r="I34" s="88">
        <v>70</v>
      </c>
      <c r="J34" s="88">
        <v>140</v>
      </c>
      <c r="K34" s="88">
        <v>250</v>
      </c>
      <c r="L34" s="88">
        <v>10</v>
      </c>
      <c r="M34" s="88">
        <v>70</v>
      </c>
      <c r="N34" s="93">
        <f>SUM(H34:M34)</f>
        <v>610</v>
      </c>
      <c r="O34" s="88">
        <v>800</v>
      </c>
      <c r="P34" s="101">
        <v>1230</v>
      </c>
      <c r="Q34" s="83" t="s">
        <v>155</v>
      </c>
      <c r="R34" s="98">
        <f>IFERROR(N34+IF(ISNUMBER(O34),O34,0)+IF(ISNUMBER(P34),P34,0),"")</f>
        <v>2640</v>
      </c>
      <c r="S34" s="107" t="s">
        <v>142</v>
      </c>
      <c r="T34" s="103"/>
      <c r="U34" s="104"/>
      <c r="V34" s="103"/>
      <c r="W34"/>
    </row>
    <row r="35" spans="1:23" ht="24" customHeight="1">
      <c r="A35" s="78" t="s">
        <v>218</v>
      </c>
      <c r="B35" s="83" t="s">
        <v>276</v>
      </c>
      <c r="C35" s="83" t="s">
        <v>277</v>
      </c>
      <c r="D35" s="83" t="s">
        <v>44</v>
      </c>
      <c r="E35" s="83" t="s">
        <v>39</v>
      </c>
      <c r="F35" s="83" t="s">
        <v>199</v>
      </c>
      <c r="G35" s="68">
        <v>0.5</v>
      </c>
      <c r="H35" s="88">
        <v>70</v>
      </c>
      <c r="I35" s="88">
        <v>70</v>
      </c>
      <c r="J35" s="88">
        <v>140</v>
      </c>
      <c r="K35" s="88">
        <v>420</v>
      </c>
      <c r="L35" s="88">
        <v>30</v>
      </c>
      <c r="M35" s="88">
        <v>70</v>
      </c>
      <c r="N35" s="93">
        <f>SUM(H35:M35)</f>
        <v>800</v>
      </c>
      <c r="O35" s="88">
        <v>800</v>
      </c>
      <c r="P35" s="101">
        <v>1380</v>
      </c>
      <c r="Q35" s="83" t="s">
        <v>219</v>
      </c>
      <c r="R35" s="98">
        <f>IFERROR(N35+IF(ISNUMBER(O35),O35,0)+IF(ISNUMBER(P35),P35,0),"")</f>
        <v>2980</v>
      </c>
      <c r="S35" s="107" t="s">
        <v>142</v>
      </c>
      <c r="T35" s="103"/>
      <c r="U35" s="104"/>
      <c r="V35" s="103"/>
      <c r="W35"/>
    </row>
    <row r="36" spans="1:23" ht="24" customHeight="1">
      <c r="A36" s="78" t="s">
        <v>220</v>
      </c>
      <c r="B36" s="83" t="s">
        <v>278</v>
      </c>
      <c r="C36" s="83" t="s">
        <v>275</v>
      </c>
      <c r="D36" s="83" t="s">
        <v>46</v>
      </c>
      <c r="E36" s="83" t="s">
        <v>39</v>
      </c>
      <c r="F36" s="83" t="s">
        <v>199</v>
      </c>
      <c r="G36" s="68">
        <v>0.5</v>
      </c>
      <c r="H36" s="88">
        <v>70</v>
      </c>
      <c r="I36" s="88">
        <v>70</v>
      </c>
      <c r="J36" s="88">
        <v>140</v>
      </c>
      <c r="K36" s="88">
        <v>420</v>
      </c>
      <c r="L36" s="88">
        <v>30</v>
      </c>
      <c r="M36" s="88">
        <v>70</v>
      </c>
      <c r="N36" s="93">
        <f>SUM(H36:M36)</f>
        <v>800</v>
      </c>
      <c r="O36" s="88">
        <v>800</v>
      </c>
      <c r="P36" s="101"/>
      <c r="Q36" s="83" t="s">
        <v>222</v>
      </c>
      <c r="R36" s="98">
        <f>IFERROR(N36+IF(ISNUMBER(O36),O36,0)+IF(ISNUMBER(P36),P36,0),"")</f>
        <v>1600</v>
      </c>
      <c r="S36" s="107"/>
      <c r="T36" s="103"/>
      <c r="U36" s="104"/>
      <c r="V36" s="103"/>
      <c r="W36"/>
    </row>
    <row r="37" spans="1:23" ht="24" customHeight="1">
      <c r="A37" s="78" t="s">
        <v>223</v>
      </c>
      <c r="B37" s="83" t="s">
        <v>275</v>
      </c>
      <c r="C37" s="83" t="s">
        <v>279</v>
      </c>
      <c r="D37" s="83" t="s">
        <v>39</v>
      </c>
      <c r="E37" s="83" t="s">
        <v>79</v>
      </c>
      <c r="F37" s="83" t="s">
        <v>224</v>
      </c>
      <c r="G37" s="68">
        <v>6</v>
      </c>
      <c r="H37" s="88">
        <v>70</v>
      </c>
      <c r="I37" s="88">
        <v>70</v>
      </c>
      <c r="J37" s="88">
        <v>140</v>
      </c>
      <c r="K37" s="88">
        <v>300</v>
      </c>
      <c r="L37" s="88">
        <v>30</v>
      </c>
      <c r="M37" s="88">
        <v>70</v>
      </c>
      <c r="N37" s="93">
        <f>SUM(H37:M37)</f>
        <v>680</v>
      </c>
      <c r="O37" s="88">
        <v>2200</v>
      </c>
      <c r="P37" s="101">
        <v>3580</v>
      </c>
      <c r="Q37" s="83" t="s">
        <v>154</v>
      </c>
      <c r="R37" s="98">
        <f>IFERROR(N37+IF(ISNUMBER(O37),O37,0)+IF(ISNUMBER(P37),P37,0),"")</f>
        <v>6460</v>
      </c>
      <c r="S37" s="107" t="s">
        <v>142</v>
      </c>
      <c r="T37" s="103"/>
      <c r="U37" s="104"/>
      <c r="V37" s="103"/>
      <c r="W37"/>
    </row>
    <row r="38" spans="1:23" ht="22" customHeight="1">
      <c r="A38" s="234" t="s">
        <v>482</v>
      </c>
      <c r="B38" s="235"/>
      <c r="C38" s="235"/>
      <c r="D38" s="235"/>
      <c r="E38" s="235"/>
      <c r="F38" s="235"/>
      <c r="G38" s="235"/>
      <c r="H38" s="235"/>
      <c r="I38" s="235"/>
      <c r="J38" s="235"/>
      <c r="K38" s="235"/>
      <c r="L38" s="235"/>
      <c r="M38" s="235"/>
      <c r="N38" s="235"/>
      <c r="O38" s="235"/>
      <c r="P38" s="235"/>
      <c r="Q38" s="235"/>
      <c r="R38" s="235"/>
      <c r="S38" s="236"/>
      <c r="T38"/>
      <c r="U38"/>
      <c r="V38"/>
      <c r="W38"/>
    </row>
    <row r="39" spans="1:23" ht="24" customHeight="1">
      <c r="A39" s="79" t="s">
        <v>211</v>
      </c>
      <c r="B39" s="84" t="s">
        <v>286</v>
      </c>
      <c r="C39" s="84" t="s">
        <v>279</v>
      </c>
      <c r="D39" s="84" t="s">
        <v>17</v>
      </c>
      <c r="E39" s="84" t="s">
        <v>79</v>
      </c>
      <c r="F39" s="84" t="s">
        <v>199</v>
      </c>
      <c r="G39" s="69">
        <v>1</v>
      </c>
      <c r="H39" s="89">
        <v>70</v>
      </c>
      <c r="I39" s="89">
        <v>70</v>
      </c>
      <c r="J39" s="89">
        <v>140</v>
      </c>
      <c r="K39" s="89">
        <v>400</v>
      </c>
      <c r="L39" s="89">
        <v>10</v>
      </c>
      <c r="M39" s="89">
        <v>70</v>
      </c>
      <c r="N39" s="94">
        <f>SUM(H39:M39)</f>
        <v>760</v>
      </c>
      <c r="O39" s="89">
        <v>2200</v>
      </c>
      <c r="P39" s="101">
        <v>2000</v>
      </c>
      <c r="Q39" s="84" t="s">
        <v>153</v>
      </c>
      <c r="R39" s="99">
        <f>IFERROR(N39+IF(ISNUMBER(O39),O39,0)+IF(ISNUMBER(P39),P39,0),"")</f>
        <v>4960</v>
      </c>
      <c r="S39" s="108" t="s">
        <v>212</v>
      </c>
      <c r="T39" s="103"/>
      <c r="U39" s="104"/>
      <c r="V39" s="103"/>
      <c r="W39"/>
    </row>
    <row r="40" spans="1:23" ht="24" customHeight="1">
      <c r="A40" s="79" t="s">
        <v>214</v>
      </c>
      <c r="B40" s="84" t="s">
        <v>288</v>
      </c>
      <c r="C40" s="84" t="s">
        <v>289</v>
      </c>
      <c r="D40" s="84" t="s">
        <v>29</v>
      </c>
      <c r="E40" s="84" t="s">
        <v>79</v>
      </c>
      <c r="F40" s="84" t="s">
        <v>199</v>
      </c>
      <c r="G40" s="69">
        <v>2</v>
      </c>
      <c r="H40" s="89">
        <v>70</v>
      </c>
      <c r="I40" s="89">
        <v>70</v>
      </c>
      <c r="J40" s="89">
        <v>140</v>
      </c>
      <c r="K40" s="89">
        <v>300</v>
      </c>
      <c r="L40" s="89">
        <v>250</v>
      </c>
      <c r="M40" s="89">
        <v>70</v>
      </c>
      <c r="N40" s="94">
        <f>SUM(H40:M40)</f>
        <v>900</v>
      </c>
      <c r="O40" s="89">
        <v>2200</v>
      </c>
      <c r="P40" s="101">
        <v>3149</v>
      </c>
      <c r="Q40" s="84" t="s">
        <v>151</v>
      </c>
      <c r="R40" s="99">
        <f>IFERROR(N40+IF(ISNUMBER(O40),O40,0)+IF(ISNUMBER(P40),P40,0),"")</f>
        <v>6249</v>
      </c>
      <c r="S40" s="108" t="s">
        <v>140</v>
      </c>
      <c r="T40" s="103"/>
      <c r="U40" s="104"/>
      <c r="V40" s="103"/>
      <c r="W40"/>
    </row>
    <row r="41" spans="1:23" ht="24" customHeight="1" thickBot="1">
      <c r="A41" s="80" t="s">
        <v>215</v>
      </c>
      <c r="B41" s="85" t="s">
        <v>290</v>
      </c>
      <c r="C41" s="85" t="s">
        <v>289</v>
      </c>
      <c r="D41" s="85" t="s">
        <v>56</v>
      </c>
      <c r="E41" s="85" t="s">
        <v>79</v>
      </c>
      <c r="F41" s="85" t="s">
        <v>199</v>
      </c>
      <c r="G41" s="70">
        <v>0.5</v>
      </c>
      <c r="H41" s="90">
        <v>70</v>
      </c>
      <c r="I41" s="90">
        <v>70</v>
      </c>
      <c r="J41" s="90">
        <v>140</v>
      </c>
      <c r="K41" s="90">
        <v>300</v>
      </c>
      <c r="L41" s="90">
        <v>250</v>
      </c>
      <c r="M41" s="90">
        <v>70</v>
      </c>
      <c r="N41" s="95">
        <f>SUM(H41:M41)</f>
        <v>900</v>
      </c>
      <c r="O41" s="90">
        <v>2200</v>
      </c>
      <c r="P41" s="102">
        <v>3530</v>
      </c>
      <c r="Q41" s="85" t="s">
        <v>154</v>
      </c>
      <c r="R41" s="100">
        <f>IFERROR(N41+IF(ISNUMBER(O41),O41,0)+IF(ISNUMBER(P41),P41,0),"")</f>
        <v>6630</v>
      </c>
      <c r="S41" s="109" t="s">
        <v>142</v>
      </c>
      <c r="T41" s="103"/>
      <c r="U41" s="104"/>
      <c r="V41" s="103"/>
      <c r="W41"/>
    </row>
    <row r="42" spans="1:23">
      <c r="A42"/>
      <c r="B42"/>
      <c r="C42"/>
      <c r="D42"/>
      <c r="E42"/>
      <c r="F42"/>
      <c r="G42" s="64"/>
      <c r="H42"/>
      <c r="I42"/>
      <c r="J42"/>
      <c r="K42"/>
      <c r="L42"/>
      <c r="M42"/>
      <c r="N42"/>
      <c r="O42"/>
      <c r="P42"/>
      <c r="Q42"/>
      <c r="R42"/>
      <c r="S42"/>
      <c r="T42"/>
      <c r="U42"/>
      <c r="V42"/>
      <c r="W42"/>
    </row>
    <row r="43" spans="1:23">
      <c r="A43"/>
      <c r="B43"/>
      <c r="C43"/>
      <c r="D43"/>
      <c r="E43"/>
      <c r="F43"/>
      <c r="G43" s="64"/>
      <c r="H43"/>
      <c r="I43"/>
      <c r="J43"/>
      <c r="K43"/>
      <c r="L43"/>
      <c r="M43"/>
      <c r="N43"/>
      <c r="O43"/>
      <c r="P43"/>
      <c r="Q43"/>
      <c r="R43"/>
      <c r="S43"/>
      <c r="T43"/>
      <c r="U43"/>
      <c r="V43"/>
      <c r="W43"/>
    </row>
    <row r="44" spans="1:23">
      <c r="A44"/>
      <c r="B44"/>
      <c r="C44"/>
      <c r="D44"/>
      <c r="E44"/>
      <c r="F44"/>
      <c r="G44" s="64"/>
      <c r="H44"/>
      <c r="I44"/>
      <c r="J44"/>
      <c r="K44"/>
      <c r="L44"/>
      <c r="M44"/>
      <c r="N44"/>
      <c r="O44"/>
      <c r="P44"/>
      <c r="Q44"/>
      <c r="R44"/>
      <c r="S44"/>
      <c r="T44"/>
      <c r="U44"/>
      <c r="V44"/>
      <c r="W44"/>
    </row>
    <row r="45" spans="1:23">
      <c r="A45"/>
      <c r="B45"/>
      <c r="C45"/>
      <c r="D45"/>
      <c r="E45"/>
      <c r="F45"/>
      <c r="G45" s="64"/>
      <c r="H45"/>
      <c r="I45"/>
      <c r="J45"/>
      <c r="K45"/>
      <c r="L45"/>
      <c r="M45"/>
      <c r="N45"/>
      <c r="O45"/>
      <c r="P45"/>
      <c r="Q45"/>
      <c r="R45"/>
      <c r="S45"/>
      <c r="T45"/>
      <c r="U45"/>
      <c r="V45"/>
      <c r="W45"/>
    </row>
    <row r="46" spans="1:23">
      <c r="A46"/>
      <c r="B46"/>
      <c r="C46"/>
      <c r="D46"/>
      <c r="E46"/>
      <c r="F46"/>
      <c r="G46" s="64"/>
      <c r="H46"/>
      <c r="I46"/>
      <c r="J46"/>
      <c r="K46"/>
      <c r="L46"/>
      <c r="M46"/>
      <c r="N46"/>
      <c r="O46"/>
      <c r="P46"/>
      <c r="Q46"/>
      <c r="R46"/>
      <c r="S46"/>
      <c r="T46"/>
      <c r="U46"/>
      <c r="V46"/>
      <c r="W46"/>
    </row>
    <row r="47" spans="1:23">
      <c r="A47"/>
      <c r="B47"/>
      <c r="C47"/>
      <c r="D47"/>
      <c r="E47"/>
      <c r="F47"/>
      <c r="G47" s="64"/>
      <c r="H47"/>
      <c r="I47"/>
      <c r="J47"/>
      <c r="K47"/>
      <c r="L47"/>
      <c r="M47"/>
      <c r="N47"/>
      <c r="O47"/>
      <c r="P47"/>
      <c r="Q47"/>
      <c r="R47"/>
      <c r="S47"/>
      <c r="T47"/>
      <c r="U47"/>
      <c r="V47"/>
      <c r="W47"/>
    </row>
    <row r="48" spans="1:23">
      <c r="A48"/>
      <c r="B48"/>
      <c r="C48"/>
      <c r="D48"/>
      <c r="E48"/>
      <c r="F48"/>
      <c r="G48" s="64"/>
      <c r="H48"/>
      <c r="I48"/>
      <c r="J48"/>
      <c r="K48"/>
      <c r="L48"/>
      <c r="M48"/>
      <c r="N48"/>
      <c r="O48"/>
      <c r="P48"/>
      <c r="Q48"/>
      <c r="R48"/>
      <c r="S48"/>
      <c r="T48"/>
      <c r="U48"/>
      <c r="V48"/>
      <c r="W48"/>
    </row>
    <row r="49" spans="1:23">
      <c r="A49"/>
      <c r="B49"/>
      <c r="C49"/>
      <c r="D49"/>
      <c r="E49"/>
      <c r="F49"/>
      <c r="G49" s="64"/>
      <c r="H49"/>
      <c r="I49"/>
      <c r="J49"/>
      <c r="K49"/>
      <c r="L49"/>
      <c r="M49"/>
      <c r="N49"/>
      <c r="O49"/>
      <c r="P49"/>
      <c r="Q49"/>
      <c r="R49"/>
      <c r="S49"/>
      <c r="T49"/>
      <c r="U49"/>
      <c r="V49"/>
      <c r="W49"/>
    </row>
    <row r="50" spans="1:23">
      <c r="A50"/>
      <c r="B50"/>
      <c r="C50"/>
      <c r="D50"/>
      <c r="E50"/>
      <c r="F50"/>
      <c r="G50" s="64"/>
      <c r="H50"/>
      <c r="I50"/>
      <c r="J50"/>
      <c r="K50"/>
      <c r="L50"/>
      <c r="M50"/>
      <c r="N50"/>
      <c r="O50"/>
      <c r="P50"/>
      <c r="Q50"/>
      <c r="R50"/>
      <c r="S50"/>
      <c r="T50"/>
      <c r="U50"/>
      <c r="V50"/>
      <c r="W50"/>
    </row>
    <row r="51" spans="1:23">
      <c r="A51"/>
      <c r="B51"/>
      <c r="C51"/>
      <c r="D51"/>
      <c r="E51"/>
      <c r="F51"/>
      <c r="G51" s="64"/>
      <c r="H51"/>
      <c r="I51"/>
      <c r="J51"/>
      <c r="K51"/>
      <c r="L51"/>
      <c r="M51"/>
      <c r="N51"/>
      <c r="O51"/>
      <c r="P51"/>
      <c r="Q51"/>
      <c r="R51"/>
      <c r="S51"/>
      <c r="T51"/>
      <c r="U51"/>
      <c r="V51"/>
      <c r="W51"/>
    </row>
    <row r="52" spans="1:23">
      <c r="A52"/>
      <c r="B52"/>
      <c r="C52"/>
      <c r="D52"/>
      <c r="E52"/>
      <c r="F52"/>
      <c r="G52" s="64"/>
      <c r="H52"/>
      <c r="I52"/>
      <c r="J52"/>
      <c r="K52"/>
      <c r="L52"/>
      <c r="M52"/>
      <c r="N52"/>
      <c r="O52"/>
      <c r="P52"/>
      <c r="Q52"/>
      <c r="R52"/>
      <c r="S52"/>
      <c r="T52"/>
      <c r="U52"/>
      <c r="V52"/>
      <c r="W52"/>
    </row>
    <row r="53" spans="1:23">
      <c r="A53"/>
      <c r="B53"/>
      <c r="C53"/>
      <c r="D53"/>
      <c r="E53"/>
      <c r="F53"/>
      <c r="G53" s="64"/>
      <c r="H53"/>
      <c r="I53"/>
      <c r="J53"/>
      <c r="K53"/>
      <c r="L53"/>
      <c r="M53"/>
      <c r="N53"/>
      <c r="O53"/>
      <c r="P53"/>
      <c r="Q53"/>
      <c r="R53"/>
      <c r="S53"/>
      <c r="T53"/>
      <c r="U53"/>
      <c r="V53"/>
      <c r="W53"/>
    </row>
    <row r="54" spans="1:23">
      <c r="A54"/>
      <c r="B54"/>
      <c r="C54"/>
      <c r="D54"/>
      <c r="E54"/>
      <c r="F54"/>
      <c r="G54" s="64"/>
      <c r="H54"/>
      <c r="I54"/>
      <c r="J54"/>
      <c r="K54"/>
      <c r="L54"/>
      <c r="M54"/>
      <c r="N54"/>
      <c r="O54"/>
      <c r="P54"/>
      <c r="Q54"/>
      <c r="R54"/>
      <c r="S54"/>
      <c r="T54"/>
      <c r="U54"/>
      <c r="V54"/>
      <c r="W54"/>
    </row>
    <row r="55" spans="1:23">
      <c r="A55"/>
      <c r="B55"/>
      <c r="C55"/>
      <c r="D55"/>
      <c r="E55"/>
      <c r="F55"/>
      <c r="G55" s="64"/>
      <c r="H55"/>
      <c r="I55"/>
      <c r="J55"/>
      <c r="K55"/>
      <c r="L55"/>
      <c r="M55"/>
      <c r="N55"/>
      <c r="O55"/>
      <c r="P55"/>
      <c r="Q55"/>
      <c r="R55"/>
      <c r="S55"/>
      <c r="T55"/>
      <c r="U55"/>
      <c r="V55"/>
      <c r="W55"/>
    </row>
    <row r="56" spans="1:23">
      <c r="A56"/>
      <c r="B56"/>
      <c r="C56"/>
      <c r="D56"/>
      <c r="E56"/>
      <c r="F56"/>
      <c r="G56" s="64"/>
      <c r="H56"/>
      <c r="I56"/>
      <c r="J56"/>
      <c r="K56"/>
      <c r="L56"/>
      <c r="M56"/>
      <c r="N56"/>
      <c r="O56"/>
      <c r="P56"/>
      <c r="Q56"/>
      <c r="R56"/>
      <c r="S56"/>
      <c r="T56"/>
      <c r="U56"/>
      <c r="V56"/>
      <c r="W56"/>
    </row>
    <row r="57" spans="1:23">
      <c r="A57"/>
      <c r="B57"/>
      <c r="C57"/>
      <c r="D57"/>
      <c r="E57"/>
      <c r="F57"/>
      <c r="G57" s="64"/>
      <c r="H57"/>
      <c r="I57"/>
      <c r="J57"/>
      <c r="K57"/>
      <c r="L57"/>
      <c r="M57"/>
      <c r="N57"/>
      <c r="O57"/>
      <c r="P57"/>
      <c r="Q57"/>
      <c r="R57"/>
      <c r="S57"/>
      <c r="T57"/>
      <c r="U57"/>
      <c r="V57"/>
      <c r="W57"/>
    </row>
    <row r="58" spans="1:23">
      <c r="A58"/>
      <c r="B58"/>
      <c r="C58"/>
      <c r="D58"/>
      <c r="E58"/>
      <c r="F58"/>
      <c r="G58" s="64"/>
      <c r="H58"/>
      <c r="I58"/>
      <c r="J58"/>
      <c r="K58"/>
      <c r="L58"/>
      <c r="M58"/>
      <c r="N58"/>
      <c r="O58"/>
      <c r="P58"/>
      <c r="Q58"/>
      <c r="R58"/>
      <c r="S58"/>
      <c r="T58"/>
      <c r="U58"/>
      <c r="V58"/>
      <c r="W58"/>
    </row>
    <row r="59" spans="1:23">
      <c r="A59"/>
      <c r="B59"/>
      <c r="C59"/>
      <c r="D59"/>
      <c r="E59"/>
      <c r="F59"/>
      <c r="G59" s="64"/>
      <c r="H59"/>
      <c r="I59"/>
      <c r="J59"/>
      <c r="K59"/>
      <c r="L59"/>
      <c r="M59"/>
      <c r="N59"/>
      <c r="O59"/>
      <c r="P59"/>
      <c r="Q59"/>
      <c r="R59"/>
      <c r="S59"/>
      <c r="T59"/>
      <c r="U59"/>
      <c r="V59"/>
      <c r="W59"/>
    </row>
    <row r="60" spans="1:23">
      <c r="A60"/>
      <c r="B60"/>
      <c r="C60"/>
      <c r="D60"/>
      <c r="E60"/>
      <c r="F60"/>
      <c r="G60" s="64"/>
      <c r="H60"/>
      <c r="I60"/>
      <c r="J60"/>
      <c r="K60"/>
      <c r="L60"/>
      <c r="M60"/>
      <c r="N60"/>
      <c r="O60"/>
      <c r="P60"/>
      <c r="Q60"/>
      <c r="R60"/>
      <c r="S60"/>
      <c r="T60"/>
      <c r="U60"/>
      <c r="V60"/>
      <c r="W60"/>
    </row>
    <row r="61" spans="1:23">
      <c r="A61"/>
      <c r="B61"/>
      <c r="C61"/>
      <c r="D61"/>
      <c r="E61"/>
      <c r="F61"/>
      <c r="G61" s="64"/>
      <c r="H61"/>
      <c r="I61"/>
      <c r="J61"/>
      <c r="K61"/>
      <c r="L61"/>
      <c r="M61"/>
      <c r="N61"/>
      <c r="O61"/>
      <c r="P61"/>
      <c r="Q61"/>
      <c r="R61"/>
      <c r="S61"/>
      <c r="T61"/>
      <c r="U61"/>
      <c r="V61"/>
      <c r="W61"/>
    </row>
    <row r="62" spans="1:23">
      <c r="A62"/>
      <c r="B62"/>
      <c r="C62"/>
      <c r="D62"/>
      <c r="E62"/>
      <c r="F62"/>
      <c r="G62" s="64"/>
      <c r="H62"/>
      <c r="I62"/>
      <c r="J62"/>
      <c r="K62"/>
      <c r="L62"/>
      <c r="M62"/>
      <c r="N62"/>
      <c r="O62"/>
      <c r="P62"/>
      <c r="Q62"/>
      <c r="R62"/>
      <c r="S62"/>
      <c r="T62"/>
      <c r="U62"/>
      <c r="V62"/>
      <c r="W62"/>
    </row>
    <row r="63" spans="1:23">
      <c r="A63"/>
      <c r="B63"/>
      <c r="C63"/>
      <c r="D63"/>
      <c r="E63"/>
      <c r="F63"/>
      <c r="G63" s="64"/>
      <c r="H63"/>
      <c r="I63"/>
      <c r="J63"/>
      <c r="K63"/>
      <c r="L63"/>
      <c r="M63"/>
      <c r="N63"/>
      <c r="O63"/>
      <c r="P63"/>
      <c r="Q63"/>
      <c r="R63"/>
      <c r="S63"/>
      <c r="T63"/>
      <c r="U63"/>
      <c r="V63"/>
      <c r="W63"/>
    </row>
    <row r="64" spans="1:23">
      <c r="A64"/>
      <c r="B64"/>
      <c r="C64"/>
      <c r="D64"/>
      <c r="E64"/>
      <c r="F64"/>
      <c r="G64" s="64"/>
      <c r="H64"/>
      <c r="I64"/>
      <c r="J64"/>
      <c r="K64"/>
      <c r="L64"/>
      <c r="M64"/>
      <c r="N64"/>
      <c r="O64"/>
      <c r="P64"/>
      <c r="Q64"/>
      <c r="R64"/>
      <c r="S64"/>
      <c r="T64"/>
      <c r="U64"/>
      <c r="V64"/>
      <c r="W64"/>
    </row>
    <row r="65" spans="1:23">
      <c r="A65"/>
      <c r="B65"/>
      <c r="C65"/>
      <c r="D65"/>
      <c r="E65"/>
      <c r="F65"/>
      <c r="G65" s="64"/>
      <c r="H65"/>
      <c r="I65"/>
      <c r="J65"/>
      <c r="K65"/>
      <c r="L65"/>
      <c r="M65"/>
      <c r="N65"/>
      <c r="O65"/>
      <c r="P65"/>
      <c r="Q65"/>
      <c r="R65"/>
      <c r="S65"/>
      <c r="T65"/>
      <c r="U65"/>
      <c r="V65"/>
      <c r="W65"/>
    </row>
    <row r="66" spans="1:23">
      <c r="A66"/>
      <c r="B66"/>
      <c r="C66"/>
      <c r="D66"/>
      <c r="E66"/>
      <c r="F66"/>
      <c r="G66" s="64"/>
      <c r="H66"/>
      <c r="I66"/>
      <c r="J66"/>
      <c r="K66"/>
      <c r="L66"/>
      <c r="M66"/>
      <c r="N66"/>
      <c r="O66"/>
      <c r="P66"/>
      <c r="Q66"/>
      <c r="R66"/>
      <c r="S66"/>
      <c r="T66"/>
      <c r="U66"/>
      <c r="V66"/>
      <c r="W66"/>
    </row>
    <row r="67" spans="1:23">
      <c r="A67"/>
      <c r="B67"/>
      <c r="C67"/>
      <c r="D67"/>
      <c r="E67"/>
      <c r="F67"/>
      <c r="G67" s="64"/>
      <c r="H67"/>
      <c r="I67"/>
      <c r="J67"/>
      <c r="K67"/>
      <c r="L67"/>
      <c r="M67"/>
      <c r="N67"/>
      <c r="O67"/>
      <c r="P67"/>
      <c r="Q67"/>
      <c r="R67"/>
      <c r="S67"/>
      <c r="T67"/>
      <c r="U67"/>
      <c r="V67"/>
      <c r="W67"/>
    </row>
    <row r="68" spans="1:23">
      <c r="A68"/>
      <c r="B68"/>
      <c r="C68"/>
      <c r="D68"/>
      <c r="E68"/>
      <c r="F68"/>
      <c r="G68" s="64"/>
      <c r="H68"/>
      <c r="I68"/>
      <c r="J68"/>
      <c r="K68"/>
      <c r="L68"/>
      <c r="M68"/>
      <c r="N68"/>
      <c r="O68"/>
      <c r="P68"/>
      <c r="Q68"/>
      <c r="R68"/>
      <c r="S68"/>
      <c r="T68"/>
      <c r="U68"/>
      <c r="V68"/>
      <c r="W68"/>
    </row>
    <row r="69" spans="1:23">
      <c r="A69"/>
      <c r="B69"/>
      <c r="C69"/>
      <c r="D69"/>
      <c r="E69"/>
      <c r="F69"/>
      <c r="G69" s="64"/>
      <c r="H69"/>
      <c r="I69"/>
      <c r="J69"/>
      <c r="K69"/>
      <c r="L69"/>
      <c r="M69"/>
      <c r="N69"/>
      <c r="O69"/>
      <c r="P69"/>
      <c r="Q69"/>
      <c r="R69"/>
      <c r="S69"/>
      <c r="T69"/>
      <c r="U69"/>
      <c r="V69"/>
      <c r="W69"/>
    </row>
    <row r="70" spans="1:23">
      <c r="A70"/>
      <c r="B70"/>
      <c r="C70"/>
      <c r="D70"/>
      <c r="E70"/>
      <c r="F70"/>
      <c r="G70" s="64"/>
      <c r="H70"/>
      <c r="I70"/>
      <c r="J70"/>
      <c r="K70"/>
      <c r="L70"/>
      <c r="M70"/>
      <c r="N70"/>
      <c r="O70"/>
      <c r="P70"/>
      <c r="Q70"/>
      <c r="R70"/>
      <c r="S70"/>
      <c r="T70"/>
      <c r="U70"/>
      <c r="V70"/>
      <c r="W70"/>
    </row>
    <row r="71" spans="1:23">
      <c r="A71"/>
      <c r="B71"/>
      <c r="C71"/>
      <c r="D71"/>
      <c r="E71"/>
      <c r="F71"/>
      <c r="G71" s="64"/>
      <c r="H71"/>
      <c r="I71"/>
      <c r="J71"/>
      <c r="K71"/>
      <c r="L71"/>
      <c r="M71"/>
      <c r="N71"/>
      <c r="O71"/>
      <c r="P71"/>
      <c r="Q71"/>
      <c r="R71"/>
      <c r="S71"/>
      <c r="T71"/>
      <c r="U71"/>
      <c r="V71"/>
      <c r="W71"/>
    </row>
    <row r="72" spans="1:23">
      <c r="A72"/>
      <c r="B72"/>
      <c r="C72"/>
      <c r="D72"/>
      <c r="E72"/>
      <c r="F72"/>
      <c r="G72" s="64"/>
      <c r="H72"/>
      <c r="I72"/>
      <c r="J72"/>
      <c r="K72"/>
      <c r="L72"/>
      <c r="M72"/>
      <c r="N72"/>
      <c r="O72"/>
      <c r="P72"/>
      <c r="Q72"/>
      <c r="R72"/>
      <c r="S72"/>
      <c r="T72"/>
      <c r="U72"/>
      <c r="V72"/>
      <c r="W72"/>
    </row>
    <row r="73" spans="1:23">
      <c r="A73"/>
      <c r="B73"/>
      <c r="C73"/>
      <c r="D73"/>
      <c r="E73"/>
      <c r="F73"/>
      <c r="G73" s="64"/>
      <c r="H73"/>
      <c r="I73"/>
      <c r="J73"/>
      <c r="K73"/>
      <c r="L73"/>
      <c r="M73"/>
      <c r="N73"/>
      <c r="O73"/>
      <c r="P73"/>
      <c r="Q73"/>
      <c r="R73"/>
      <c r="S73"/>
      <c r="T73"/>
      <c r="U73"/>
      <c r="V73"/>
      <c r="W73"/>
    </row>
    <row r="74" spans="1:23">
      <c r="A74"/>
      <c r="B74"/>
      <c r="C74"/>
      <c r="D74"/>
      <c r="E74"/>
      <c r="F74"/>
      <c r="G74" s="64"/>
      <c r="H74"/>
      <c r="I74"/>
      <c r="J74"/>
      <c r="K74"/>
      <c r="L74"/>
      <c r="M74"/>
      <c r="N74"/>
      <c r="O74"/>
      <c r="P74"/>
      <c r="Q74"/>
      <c r="R74"/>
      <c r="S74"/>
      <c r="T74"/>
      <c r="U74"/>
      <c r="V74"/>
      <c r="W74"/>
    </row>
    <row r="75" spans="1:23">
      <c r="A75"/>
      <c r="B75"/>
      <c r="C75"/>
      <c r="D75"/>
      <c r="E75"/>
      <c r="F75"/>
      <c r="G75" s="64"/>
      <c r="H75"/>
      <c r="I75"/>
      <c r="J75"/>
      <c r="K75"/>
      <c r="L75"/>
      <c r="M75"/>
      <c r="N75"/>
      <c r="O75"/>
      <c r="P75"/>
      <c r="Q75"/>
      <c r="R75"/>
      <c r="S75"/>
      <c r="T75"/>
      <c r="U75"/>
      <c r="V75"/>
      <c r="W75"/>
    </row>
    <row r="76" spans="1:23">
      <c r="A76"/>
      <c r="B76"/>
      <c r="C76"/>
      <c r="D76"/>
      <c r="E76"/>
      <c r="F76"/>
      <c r="G76" s="64"/>
      <c r="H76"/>
      <c r="I76"/>
      <c r="J76"/>
      <c r="K76"/>
      <c r="L76"/>
      <c r="M76"/>
      <c r="N76"/>
      <c r="O76"/>
      <c r="P76"/>
      <c r="Q76"/>
      <c r="R76"/>
      <c r="S76"/>
      <c r="T76"/>
      <c r="U76"/>
      <c r="V76"/>
      <c r="W76"/>
    </row>
    <row r="77" spans="1:23">
      <c r="A77"/>
      <c r="B77"/>
      <c r="C77"/>
      <c r="D77"/>
      <c r="E77"/>
      <c r="F77"/>
      <c r="G77" s="64"/>
      <c r="H77"/>
      <c r="I77"/>
      <c r="J77"/>
      <c r="K77"/>
      <c r="L77"/>
      <c r="M77"/>
      <c r="N77"/>
      <c r="O77"/>
      <c r="P77"/>
      <c r="Q77"/>
      <c r="R77"/>
      <c r="S77"/>
      <c r="T77"/>
      <c r="U77"/>
      <c r="V77"/>
      <c r="W77"/>
    </row>
    <row r="78" spans="1:23">
      <c r="A78"/>
      <c r="B78"/>
      <c r="C78"/>
      <c r="D78"/>
      <c r="E78"/>
      <c r="F78"/>
      <c r="G78" s="64"/>
      <c r="H78"/>
      <c r="I78"/>
      <c r="J78"/>
      <c r="K78"/>
      <c r="L78"/>
      <c r="M78"/>
      <c r="N78"/>
      <c r="O78"/>
      <c r="P78"/>
      <c r="Q78"/>
      <c r="R78"/>
      <c r="S78"/>
      <c r="T78"/>
      <c r="U78"/>
      <c r="V78"/>
      <c r="W78"/>
    </row>
    <row r="79" spans="1:23">
      <c r="A79"/>
      <c r="B79"/>
      <c r="C79"/>
      <c r="D79"/>
      <c r="E79"/>
      <c r="F79"/>
      <c r="G79" s="64"/>
      <c r="H79"/>
      <c r="I79"/>
      <c r="J79"/>
      <c r="K79"/>
      <c r="L79"/>
      <c r="M79"/>
      <c r="N79"/>
      <c r="O79"/>
      <c r="P79"/>
      <c r="Q79"/>
      <c r="R79"/>
      <c r="S79"/>
      <c r="T79"/>
      <c r="U79"/>
      <c r="V79"/>
      <c r="W79"/>
    </row>
    <row r="80" spans="1:23">
      <c r="A80"/>
      <c r="B80"/>
      <c r="C80"/>
      <c r="D80"/>
      <c r="E80"/>
      <c r="F80"/>
      <c r="G80" s="64"/>
      <c r="H80"/>
      <c r="I80"/>
      <c r="J80"/>
      <c r="K80"/>
      <c r="L80"/>
      <c r="M80"/>
      <c r="N80"/>
      <c r="O80"/>
      <c r="P80"/>
      <c r="Q80"/>
      <c r="R80"/>
      <c r="S80"/>
      <c r="T80"/>
      <c r="U80"/>
      <c r="V80"/>
      <c r="W80"/>
    </row>
    <row r="81" spans="1:23">
      <c r="A81"/>
      <c r="B81"/>
      <c r="C81"/>
      <c r="D81"/>
      <c r="E81"/>
      <c r="F81"/>
      <c r="G81" s="64"/>
      <c r="H81"/>
      <c r="I81"/>
      <c r="J81"/>
      <c r="K81"/>
      <c r="L81"/>
      <c r="M81"/>
      <c r="N81"/>
      <c r="O81"/>
      <c r="P81"/>
      <c r="Q81"/>
      <c r="R81"/>
      <c r="S81"/>
      <c r="T81"/>
      <c r="U81"/>
      <c r="V81"/>
      <c r="W81"/>
    </row>
    <row r="82" spans="1:23">
      <c r="A82"/>
      <c r="B82"/>
      <c r="C82"/>
      <c r="D82"/>
      <c r="E82"/>
      <c r="F82"/>
      <c r="G82" s="64"/>
      <c r="H82"/>
      <c r="I82"/>
      <c r="J82"/>
      <c r="K82"/>
      <c r="L82"/>
      <c r="M82"/>
      <c r="N82"/>
      <c r="O82"/>
      <c r="P82"/>
      <c r="Q82"/>
      <c r="R82"/>
      <c r="S82"/>
      <c r="T82"/>
      <c r="U82"/>
      <c r="V82"/>
      <c r="W82"/>
    </row>
    <row r="83" spans="1:23">
      <c r="A83"/>
      <c r="B83"/>
      <c r="C83"/>
      <c r="D83"/>
      <c r="E83"/>
      <c r="F83"/>
      <c r="G83" s="64"/>
      <c r="H83"/>
      <c r="I83"/>
      <c r="J83"/>
      <c r="K83"/>
      <c r="L83"/>
      <c r="M83"/>
      <c r="N83"/>
      <c r="O83"/>
      <c r="P83"/>
      <c r="Q83"/>
      <c r="R83"/>
      <c r="S83"/>
      <c r="T83"/>
      <c r="U83"/>
      <c r="V83"/>
      <c r="W83"/>
    </row>
    <row r="84" spans="1:23">
      <c r="A84"/>
      <c r="B84"/>
      <c r="C84"/>
      <c r="D84"/>
      <c r="E84"/>
      <c r="F84"/>
      <c r="G84" s="64"/>
      <c r="H84"/>
      <c r="I84"/>
      <c r="J84"/>
      <c r="K84"/>
      <c r="L84"/>
      <c r="M84"/>
      <c r="N84"/>
      <c r="O84"/>
      <c r="P84"/>
      <c r="Q84"/>
      <c r="R84"/>
      <c r="S84"/>
      <c r="T84"/>
      <c r="U84"/>
      <c r="V84"/>
      <c r="W84"/>
    </row>
    <row r="85" spans="1:23">
      <c r="A85"/>
      <c r="B85"/>
      <c r="C85"/>
      <c r="D85"/>
      <c r="E85"/>
      <c r="F85"/>
      <c r="G85" s="64"/>
      <c r="H85"/>
      <c r="I85"/>
      <c r="J85"/>
      <c r="K85"/>
      <c r="L85"/>
      <c r="M85"/>
      <c r="N85"/>
      <c r="O85"/>
      <c r="P85"/>
      <c r="Q85"/>
      <c r="R85"/>
      <c r="S85"/>
      <c r="T85"/>
      <c r="U85"/>
      <c r="V85"/>
      <c r="W85"/>
    </row>
    <row r="86" spans="1:23">
      <c r="A86"/>
      <c r="B86"/>
      <c r="C86"/>
      <c r="D86"/>
      <c r="E86"/>
      <c r="F86"/>
      <c r="G86" s="64"/>
      <c r="H86"/>
      <c r="I86"/>
      <c r="J86"/>
      <c r="K86"/>
      <c r="L86"/>
      <c r="M86"/>
      <c r="N86"/>
      <c r="O86"/>
      <c r="P86"/>
      <c r="Q86"/>
      <c r="R86"/>
      <c r="S86"/>
      <c r="T86"/>
      <c r="U86"/>
      <c r="V86"/>
      <c r="W86"/>
    </row>
    <row r="87" spans="1:23">
      <c r="A87"/>
      <c r="B87"/>
      <c r="C87"/>
      <c r="D87"/>
      <c r="E87"/>
      <c r="F87"/>
      <c r="G87" s="64"/>
      <c r="H87"/>
      <c r="I87"/>
      <c r="J87"/>
      <c r="K87"/>
      <c r="L87"/>
      <c r="M87"/>
      <c r="N87"/>
      <c r="O87"/>
      <c r="P87"/>
      <c r="Q87"/>
      <c r="R87"/>
      <c r="S87"/>
      <c r="T87"/>
      <c r="U87"/>
      <c r="V87"/>
      <c r="W87"/>
    </row>
    <row r="88" spans="1:23">
      <c r="A88"/>
      <c r="B88"/>
      <c r="C88"/>
      <c r="D88"/>
      <c r="E88"/>
      <c r="F88"/>
      <c r="G88" s="64"/>
      <c r="H88"/>
      <c r="I88"/>
      <c r="J88"/>
      <c r="K88"/>
      <c r="L88"/>
      <c r="M88"/>
      <c r="N88"/>
      <c r="O88"/>
      <c r="P88"/>
      <c r="Q88"/>
      <c r="R88"/>
      <c r="S88"/>
      <c r="T88"/>
      <c r="U88"/>
      <c r="V88"/>
      <c r="W88"/>
    </row>
    <row r="89" spans="1:23">
      <c r="A89"/>
      <c r="B89"/>
      <c r="C89"/>
      <c r="D89"/>
      <c r="E89"/>
      <c r="F89"/>
      <c r="G89" s="64"/>
      <c r="H89"/>
      <c r="I89"/>
      <c r="J89"/>
      <c r="K89"/>
      <c r="L89"/>
      <c r="M89"/>
      <c r="N89"/>
      <c r="O89"/>
      <c r="P89"/>
      <c r="Q89"/>
      <c r="R89"/>
      <c r="S89"/>
      <c r="T89"/>
      <c r="U89"/>
      <c r="V89"/>
      <c r="W89"/>
    </row>
    <row r="90" spans="1:23">
      <c r="A90"/>
      <c r="B90"/>
      <c r="C90"/>
      <c r="D90"/>
      <c r="E90"/>
      <c r="F90"/>
      <c r="G90" s="64"/>
      <c r="H90"/>
      <c r="I90"/>
      <c r="J90"/>
      <c r="K90"/>
      <c r="L90"/>
      <c r="M90"/>
      <c r="N90"/>
      <c r="O90"/>
      <c r="P90"/>
      <c r="Q90"/>
      <c r="R90"/>
      <c r="S90"/>
      <c r="T90"/>
      <c r="U90"/>
      <c r="V90"/>
      <c r="W90"/>
    </row>
    <row r="91" spans="1:23">
      <c r="A91"/>
      <c r="B91"/>
      <c r="C91"/>
      <c r="D91"/>
      <c r="E91"/>
      <c r="F91"/>
      <c r="G91" s="64"/>
      <c r="H91"/>
      <c r="I91"/>
      <c r="J91"/>
      <c r="K91"/>
      <c r="L91"/>
      <c r="M91"/>
      <c r="N91"/>
      <c r="O91"/>
      <c r="P91"/>
      <c r="Q91"/>
      <c r="R91"/>
      <c r="S91"/>
      <c r="T91"/>
      <c r="U91"/>
      <c r="V91"/>
      <c r="W91"/>
    </row>
    <row r="92" spans="1:23">
      <c r="A92"/>
      <c r="B92"/>
      <c r="C92"/>
      <c r="D92"/>
      <c r="E92"/>
      <c r="F92"/>
      <c r="G92" s="64"/>
      <c r="H92"/>
      <c r="I92"/>
      <c r="J92"/>
      <c r="K92"/>
      <c r="L92"/>
      <c r="M92"/>
      <c r="N92"/>
      <c r="O92"/>
      <c r="P92"/>
      <c r="Q92"/>
      <c r="R92"/>
      <c r="S92"/>
      <c r="T92"/>
      <c r="U92"/>
      <c r="V92"/>
      <c r="W92"/>
    </row>
    <row r="93" spans="1:23">
      <c r="A93"/>
      <c r="B93"/>
      <c r="C93"/>
      <c r="D93"/>
      <c r="E93"/>
      <c r="F93"/>
      <c r="G93" s="64"/>
      <c r="H93"/>
      <c r="I93"/>
      <c r="J93"/>
      <c r="K93"/>
      <c r="L93"/>
      <c r="M93"/>
      <c r="N93"/>
      <c r="O93"/>
      <c r="P93"/>
      <c r="Q93"/>
      <c r="R93"/>
      <c r="S93"/>
      <c r="T93"/>
      <c r="U93"/>
      <c r="V93"/>
      <c r="W93"/>
    </row>
    <row r="94" spans="1:23">
      <c r="A94"/>
      <c r="B94"/>
      <c r="C94"/>
      <c r="D94"/>
      <c r="E94"/>
      <c r="F94"/>
      <c r="G94" s="64"/>
      <c r="H94"/>
      <c r="I94"/>
      <c r="J94"/>
      <c r="K94"/>
      <c r="L94"/>
      <c r="M94"/>
      <c r="N94"/>
      <c r="O94"/>
      <c r="P94"/>
      <c r="Q94"/>
      <c r="R94"/>
      <c r="S94"/>
      <c r="T94"/>
      <c r="U94"/>
      <c r="V94"/>
      <c r="W94"/>
    </row>
    <row r="95" spans="1:23">
      <c r="A95"/>
      <c r="B95"/>
      <c r="C95"/>
      <c r="D95"/>
      <c r="E95"/>
      <c r="F95"/>
      <c r="G95" s="64"/>
      <c r="H95"/>
      <c r="I95"/>
      <c r="J95"/>
      <c r="K95"/>
      <c r="L95"/>
      <c r="M95"/>
      <c r="N95"/>
      <c r="O95"/>
      <c r="P95"/>
      <c r="Q95"/>
      <c r="R95"/>
      <c r="S95"/>
      <c r="T95"/>
      <c r="U95"/>
      <c r="V95"/>
      <c r="W95"/>
    </row>
    <row r="96" spans="1:23">
      <c r="A96"/>
      <c r="B96"/>
      <c r="C96"/>
      <c r="D96"/>
      <c r="E96"/>
      <c r="F96"/>
      <c r="G96" s="64"/>
      <c r="H96"/>
      <c r="I96"/>
      <c r="J96"/>
      <c r="K96"/>
      <c r="L96"/>
      <c r="M96"/>
      <c r="N96"/>
      <c r="O96"/>
      <c r="P96"/>
      <c r="Q96"/>
      <c r="R96"/>
      <c r="S96"/>
      <c r="T96"/>
      <c r="U96"/>
      <c r="V96"/>
      <c r="W96"/>
    </row>
    <row r="97" spans="1:23">
      <c r="A97"/>
      <c r="B97"/>
      <c r="C97"/>
      <c r="D97"/>
      <c r="E97"/>
      <c r="F97"/>
      <c r="G97" s="64"/>
      <c r="H97"/>
      <c r="I97"/>
      <c r="J97"/>
      <c r="K97"/>
      <c r="L97"/>
      <c r="M97"/>
      <c r="N97"/>
      <c r="O97"/>
      <c r="P97"/>
      <c r="Q97"/>
      <c r="R97"/>
      <c r="S97"/>
      <c r="T97"/>
      <c r="U97"/>
      <c r="V97"/>
      <c r="W97"/>
    </row>
    <row r="98" spans="1:23">
      <c r="A98"/>
      <c r="B98"/>
      <c r="C98"/>
      <c r="D98"/>
      <c r="E98"/>
      <c r="F98"/>
      <c r="G98" s="64"/>
      <c r="H98"/>
      <c r="I98"/>
      <c r="J98"/>
      <c r="K98"/>
      <c r="L98"/>
      <c r="M98"/>
      <c r="N98"/>
      <c r="O98"/>
      <c r="P98"/>
      <c r="Q98"/>
      <c r="R98"/>
      <c r="S98"/>
      <c r="T98"/>
      <c r="U98"/>
      <c r="V98"/>
      <c r="W98"/>
    </row>
    <row r="99" spans="1:23">
      <c r="A99"/>
      <c r="B99"/>
      <c r="C99"/>
      <c r="D99"/>
      <c r="E99"/>
      <c r="F99"/>
      <c r="G99" s="64"/>
      <c r="H99"/>
      <c r="I99"/>
      <c r="J99"/>
      <c r="K99"/>
      <c r="L99"/>
      <c r="M99"/>
      <c r="N99"/>
      <c r="O99"/>
      <c r="P99"/>
      <c r="Q99"/>
      <c r="R99"/>
      <c r="S99"/>
      <c r="T99"/>
      <c r="U99"/>
      <c r="V99"/>
      <c r="W99"/>
    </row>
    <row r="100" spans="1:23">
      <c r="A100"/>
      <c r="B100"/>
      <c r="C100"/>
      <c r="D100"/>
      <c r="E100"/>
      <c r="F100"/>
      <c r="G100" s="64"/>
      <c r="H100"/>
      <c r="I100"/>
      <c r="J100"/>
      <c r="K100"/>
      <c r="L100"/>
      <c r="M100"/>
      <c r="N100"/>
      <c r="O100"/>
      <c r="P100"/>
      <c r="Q100"/>
      <c r="R100"/>
      <c r="S100"/>
      <c r="T100"/>
      <c r="U100"/>
      <c r="V100"/>
      <c r="W100"/>
    </row>
  </sheetData>
  <protectedRanges>
    <protectedRange sqref="Q16:Q17" name="区域1_1_2_2_1"/>
  </protectedRanges>
  <mergeCells count="6">
    <mergeCell ref="A38:S38"/>
    <mergeCell ref="A2:S2"/>
    <mergeCell ref="A5:S5"/>
    <mergeCell ref="A23:S23"/>
    <mergeCell ref="A29:S29"/>
    <mergeCell ref="A32:S32"/>
  </mergeCells>
  <phoneticPr fontId="31"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E5B1A-E01C-F648-8F5D-220C24215065}">
  <dimension ref="A1:W100"/>
  <sheetViews>
    <sheetView tabSelected="1" topLeftCell="E1" zoomScaleNormal="100" workbookViewId="0">
      <pane ySplit="1" topLeftCell="A2" activePane="bottomLeft" state="frozen"/>
      <selection pane="bottomLeft" activeCell="M13" sqref="M13"/>
    </sheetView>
  </sheetViews>
  <sheetFormatPr baseColWidth="10" defaultColWidth="9" defaultRowHeight="15"/>
  <cols>
    <col min="1" max="1" width="21.6640625" style="32" customWidth="1"/>
    <col min="2" max="2" width="26.6640625" style="39" customWidth="1"/>
    <col min="3" max="3" width="26.6640625" style="38" customWidth="1"/>
    <col min="4" max="5" width="11.6640625" style="37" customWidth="1"/>
    <col min="6" max="6" width="10" style="37" customWidth="1"/>
    <col min="7" max="7" width="10.83203125" style="65" customWidth="1"/>
    <col min="8" max="8" width="9.1640625" style="37" customWidth="1"/>
    <col min="9" max="9" width="8.33203125" style="37" customWidth="1"/>
    <col min="10" max="10" width="9.1640625" style="37" customWidth="1"/>
    <col min="11" max="12" width="10" style="37" customWidth="1"/>
    <col min="13" max="13" width="8.33203125" style="37" customWidth="1"/>
    <col min="14" max="14" width="12.5" style="37" customWidth="1"/>
    <col min="15" max="15" width="10.83203125" style="33" customWidth="1"/>
    <col min="16" max="16" width="11.6640625" style="37" customWidth="1"/>
    <col min="17" max="17" width="13.33203125" style="34" customWidth="1"/>
    <col min="18" max="18" width="13.33203125" style="33" customWidth="1"/>
    <col min="19" max="19" width="14.1640625" style="32" customWidth="1"/>
    <col min="20" max="16384" width="9" style="32"/>
  </cols>
  <sheetData>
    <row r="1" spans="1:23" ht="20" customHeight="1" thickBot="1">
      <c r="A1" s="176" t="s">
        <v>253</v>
      </c>
      <c r="B1" s="177" t="s">
        <v>1</v>
      </c>
      <c r="C1" s="177" t="s">
        <v>2</v>
      </c>
      <c r="D1" s="177" t="s">
        <v>254</v>
      </c>
      <c r="E1" s="177" t="s">
        <v>255</v>
      </c>
      <c r="F1" s="177" t="s">
        <v>190</v>
      </c>
      <c r="G1" s="180" t="s">
        <v>191</v>
      </c>
      <c r="H1" s="177" t="s">
        <v>256</v>
      </c>
      <c r="I1" s="177" t="s">
        <v>257</v>
      </c>
      <c r="J1" s="177" t="s">
        <v>258</v>
      </c>
      <c r="K1" s="177" t="s">
        <v>259</v>
      </c>
      <c r="L1" s="177" t="s">
        <v>260</v>
      </c>
      <c r="M1" s="177" t="s">
        <v>261</v>
      </c>
      <c r="N1" s="177" t="s">
        <v>291</v>
      </c>
      <c r="O1" s="177" t="s">
        <v>292</v>
      </c>
      <c r="P1" s="178" t="s">
        <v>262</v>
      </c>
      <c r="Q1" s="177" t="s">
        <v>263</v>
      </c>
      <c r="R1" s="177" t="s">
        <v>264</v>
      </c>
      <c r="S1" s="179" t="s">
        <v>293</v>
      </c>
      <c r="T1"/>
      <c r="U1"/>
      <c r="V1"/>
      <c r="W1"/>
    </row>
    <row r="2" spans="1:23" ht="22" customHeight="1">
      <c r="A2" s="237" t="s">
        <v>491</v>
      </c>
      <c r="B2" s="238"/>
      <c r="C2" s="238"/>
      <c r="D2" s="238"/>
      <c r="E2" s="238"/>
      <c r="F2" s="238"/>
      <c r="G2" s="238"/>
      <c r="H2" s="238"/>
      <c r="I2" s="238"/>
      <c r="J2" s="238"/>
      <c r="K2" s="238"/>
      <c r="L2" s="238"/>
      <c r="M2" s="238"/>
      <c r="N2" s="238"/>
      <c r="O2" s="238"/>
      <c r="P2" s="238"/>
      <c r="Q2" s="238"/>
      <c r="R2" s="238"/>
      <c r="S2" s="239"/>
      <c r="T2"/>
      <c r="U2"/>
      <c r="V2"/>
      <c r="W2"/>
    </row>
    <row r="3" spans="1:23" ht="24" customHeight="1">
      <c r="A3" s="154" t="s">
        <v>192</v>
      </c>
      <c r="B3" s="155" t="s">
        <v>268</v>
      </c>
      <c r="C3" s="155" t="s">
        <v>269</v>
      </c>
      <c r="D3" s="155" t="s">
        <v>17</v>
      </c>
      <c r="E3" s="155" t="s">
        <v>31</v>
      </c>
      <c r="F3" s="155" t="s">
        <v>194</v>
      </c>
      <c r="G3" s="156">
        <v>16</v>
      </c>
      <c r="H3" s="157">
        <v>70</v>
      </c>
      <c r="I3" s="157">
        <v>70</v>
      </c>
      <c r="J3" s="157">
        <v>140</v>
      </c>
      <c r="K3" s="157">
        <v>400</v>
      </c>
      <c r="L3" s="157">
        <v>10</v>
      </c>
      <c r="M3" s="157">
        <v>70</v>
      </c>
      <c r="N3" s="158">
        <f>SUM(H3:M3)</f>
        <v>760</v>
      </c>
      <c r="O3" s="157">
        <v>950</v>
      </c>
      <c r="P3" s="101">
        <v>4990</v>
      </c>
      <c r="Q3" s="155" t="s">
        <v>195</v>
      </c>
      <c r="R3" s="160">
        <f>IFERROR(N3+IF(ISNUMBER(O3),O3,0)+IF(ISNUMBER(P3),P3,0),"")</f>
        <v>6700</v>
      </c>
      <c r="S3" s="161" t="s">
        <v>196</v>
      </c>
      <c r="T3" s="103"/>
      <c r="U3" s="104"/>
      <c r="V3" s="103"/>
      <c r="W3"/>
    </row>
    <row r="4" spans="1:23" ht="24" customHeight="1">
      <c r="A4" s="154" t="s">
        <v>198</v>
      </c>
      <c r="B4" s="155" t="s">
        <v>270</v>
      </c>
      <c r="C4" s="155" t="s">
        <v>269</v>
      </c>
      <c r="D4" s="155" t="s">
        <v>17</v>
      </c>
      <c r="E4" s="155" t="s">
        <v>31</v>
      </c>
      <c r="F4" s="155" t="s">
        <v>199</v>
      </c>
      <c r="G4" s="156">
        <v>3</v>
      </c>
      <c r="H4" s="157">
        <v>70</v>
      </c>
      <c r="I4" s="157">
        <v>70</v>
      </c>
      <c r="J4" s="157">
        <v>170</v>
      </c>
      <c r="K4" s="157">
        <v>250</v>
      </c>
      <c r="L4" s="157">
        <v>50</v>
      </c>
      <c r="M4" s="157">
        <v>50</v>
      </c>
      <c r="N4" s="158">
        <f>SUM(H4:M4)</f>
        <v>660</v>
      </c>
      <c r="O4" s="157">
        <v>950</v>
      </c>
      <c r="P4" s="101">
        <v>6940</v>
      </c>
      <c r="Q4" s="155" t="s">
        <v>200</v>
      </c>
      <c r="R4" s="160">
        <f>IFERROR(N4+IF(ISNUMBER(O4),O4,0)+IF(ISNUMBER(P4),P4,0),"")</f>
        <v>8550</v>
      </c>
      <c r="S4" s="161" t="s">
        <v>196</v>
      </c>
      <c r="T4" s="103"/>
      <c r="U4" s="104"/>
      <c r="V4" s="103"/>
      <c r="W4"/>
    </row>
    <row r="5" spans="1:23" ht="22" customHeight="1">
      <c r="A5" s="240" t="s">
        <v>478</v>
      </c>
      <c r="B5" s="241"/>
      <c r="C5" s="241"/>
      <c r="D5" s="241"/>
      <c r="E5" s="241"/>
      <c r="F5" s="241"/>
      <c r="G5" s="241"/>
      <c r="H5" s="241"/>
      <c r="I5" s="241"/>
      <c r="J5" s="241"/>
      <c r="K5" s="241"/>
      <c r="L5" s="241"/>
      <c r="M5" s="241"/>
      <c r="N5" s="241"/>
      <c r="O5" s="241"/>
      <c r="P5" s="241"/>
      <c r="Q5" s="241"/>
      <c r="R5" s="241"/>
      <c r="S5" s="242"/>
      <c r="T5"/>
      <c r="U5"/>
      <c r="V5"/>
      <c r="W5"/>
    </row>
    <row r="6" spans="1:23" ht="24" customHeight="1">
      <c r="A6" s="76" t="s">
        <v>228</v>
      </c>
      <c r="B6" s="81" t="s">
        <v>40</v>
      </c>
      <c r="C6" s="81" t="s">
        <v>229</v>
      </c>
      <c r="D6" s="81" t="s">
        <v>39</v>
      </c>
      <c r="E6" s="81" t="s">
        <v>105</v>
      </c>
      <c r="F6" s="81" t="s">
        <v>230</v>
      </c>
      <c r="G6" s="66">
        <v>9</v>
      </c>
      <c r="H6" s="86">
        <v>70</v>
      </c>
      <c r="I6" s="86">
        <v>50</v>
      </c>
      <c r="J6" s="86">
        <v>260</v>
      </c>
      <c r="K6" s="86">
        <v>250</v>
      </c>
      <c r="L6" s="86">
        <v>90</v>
      </c>
      <c r="M6" s="86">
        <v>80</v>
      </c>
      <c r="N6" s="91">
        <f t="shared" ref="N6:N22" si="0">SUM(H6:M6)</f>
        <v>800</v>
      </c>
      <c r="O6" s="86" t="s">
        <v>169</v>
      </c>
      <c r="P6" s="101">
        <v>4180</v>
      </c>
      <c r="Q6" s="81" t="s">
        <v>265</v>
      </c>
      <c r="R6" s="96">
        <f t="shared" ref="R6:R22" si="1">IFERROR(N6+IF(ISNUMBER(O6),O6,0)+IF(ISNUMBER(P6),P6,0),"")</f>
        <v>4980</v>
      </c>
      <c r="S6" s="105" t="s">
        <v>142</v>
      </c>
      <c r="T6" s="103"/>
      <c r="U6" s="104"/>
      <c r="V6" s="103"/>
      <c r="W6"/>
    </row>
    <row r="7" spans="1:23" ht="24" customHeight="1">
      <c r="A7" s="76" t="s">
        <v>231</v>
      </c>
      <c r="B7" s="81" t="s">
        <v>232</v>
      </c>
      <c r="C7" s="81" t="s">
        <v>233</v>
      </c>
      <c r="D7" s="81" t="s">
        <v>56</v>
      </c>
      <c r="E7" s="81" t="s">
        <v>105</v>
      </c>
      <c r="F7" s="81" t="s">
        <v>230</v>
      </c>
      <c r="G7" s="66">
        <v>2</v>
      </c>
      <c r="H7" s="86">
        <v>70</v>
      </c>
      <c r="I7" s="86">
        <v>50</v>
      </c>
      <c r="J7" s="86">
        <v>260</v>
      </c>
      <c r="K7" s="86">
        <v>325</v>
      </c>
      <c r="L7" s="86">
        <v>90</v>
      </c>
      <c r="M7" s="86">
        <v>80</v>
      </c>
      <c r="N7" s="91">
        <f t="shared" si="0"/>
        <v>875</v>
      </c>
      <c r="O7" s="86" t="s">
        <v>169</v>
      </c>
      <c r="P7" s="101">
        <v>4180</v>
      </c>
      <c r="Q7" s="81" t="s">
        <v>265</v>
      </c>
      <c r="R7" s="96">
        <f t="shared" si="1"/>
        <v>5055</v>
      </c>
      <c r="S7" s="105" t="s">
        <v>142</v>
      </c>
      <c r="T7" s="103"/>
      <c r="U7" s="104"/>
      <c r="V7" s="103"/>
      <c r="W7"/>
    </row>
    <row r="8" spans="1:23" ht="24" customHeight="1">
      <c r="A8" s="76" t="s">
        <v>234</v>
      </c>
      <c r="B8" s="81" t="s">
        <v>94</v>
      </c>
      <c r="C8" s="81" t="s">
        <v>235</v>
      </c>
      <c r="D8" s="81" t="s">
        <v>39</v>
      </c>
      <c r="E8" s="81" t="s">
        <v>105</v>
      </c>
      <c r="F8" s="81" t="s">
        <v>230</v>
      </c>
      <c r="G8" s="66">
        <v>1</v>
      </c>
      <c r="H8" s="86">
        <v>70</v>
      </c>
      <c r="I8" s="86">
        <v>50</v>
      </c>
      <c r="J8" s="86">
        <v>260</v>
      </c>
      <c r="K8" s="86">
        <v>250</v>
      </c>
      <c r="L8" s="86">
        <v>90</v>
      </c>
      <c r="M8" s="86">
        <v>80</v>
      </c>
      <c r="N8" s="91">
        <f t="shared" si="0"/>
        <v>800</v>
      </c>
      <c r="O8" s="86" t="s">
        <v>169</v>
      </c>
      <c r="P8" s="101">
        <v>4180</v>
      </c>
      <c r="Q8" s="81" t="s">
        <v>265</v>
      </c>
      <c r="R8" s="96">
        <f t="shared" si="1"/>
        <v>4980</v>
      </c>
      <c r="S8" s="105" t="s">
        <v>142</v>
      </c>
      <c r="T8" s="103"/>
      <c r="U8" s="104"/>
      <c r="V8" s="103"/>
      <c r="W8"/>
    </row>
    <row r="9" spans="1:23" ht="24" customHeight="1">
      <c r="A9" s="76" t="s">
        <v>236</v>
      </c>
      <c r="B9" s="81" t="s">
        <v>102</v>
      </c>
      <c r="C9" s="81" t="s">
        <v>233</v>
      </c>
      <c r="D9" s="81" t="s">
        <v>29</v>
      </c>
      <c r="E9" s="81" t="s">
        <v>105</v>
      </c>
      <c r="F9" s="81" t="s">
        <v>230</v>
      </c>
      <c r="G9" s="66">
        <v>2</v>
      </c>
      <c r="H9" s="86">
        <v>70</v>
      </c>
      <c r="I9" s="86">
        <v>80</v>
      </c>
      <c r="J9" s="86">
        <v>160</v>
      </c>
      <c r="K9" s="86">
        <v>1000</v>
      </c>
      <c r="L9" s="86">
        <v>50</v>
      </c>
      <c r="M9" s="86">
        <v>75</v>
      </c>
      <c r="N9" s="91">
        <f t="shared" si="0"/>
        <v>1435</v>
      </c>
      <c r="O9" s="86" t="s">
        <v>169</v>
      </c>
      <c r="P9" s="101">
        <v>4500</v>
      </c>
      <c r="Q9" s="81" t="s">
        <v>266</v>
      </c>
      <c r="R9" s="96">
        <f t="shared" si="1"/>
        <v>5935</v>
      </c>
      <c r="S9" s="105" t="s">
        <v>140</v>
      </c>
      <c r="T9" s="103"/>
      <c r="U9" s="104"/>
      <c r="V9" s="103"/>
      <c r="W9"/>
    </row>
    <row r="10" spans="1:23" ht="24" customHeight="1">
      <c r="A10" s="76" t="s">
        <v>237</v>
      </c>
      <c r="B10" s="81" t="s">
        <v>103</v>
      </c>
      <c r="C10" s="81" t="s">
        <v>233</v>
      </c>
      <c r="D10" s="81" t="s">
        <v>227</v>
      </c>
      <c r="E10" s="81" t="s">
        <v>105</v>
      </c>
      <c r="F10" s="81" t="s">
        <v>230</v>
      </c>
      <c r="G10" s="66">
        <v>1</v>
      </c>
      <c r="H10" s="86">
        <v>70</v>
      </c>
      <c r="I10" s="86">
        <v>35</v>
      </c>
      <c r="J10" s="86">
        <v>145</v>
      </c>
      <c r="K10" s="86">
        <v>350</v>
      </c>
      <c r="L10" s="86">
        <v>150</v>
      </c>
      <c r="M10" s="86">
        <v>50</v>
      </c>
      <c r="N10" s="91">
        <f t="shared" si="0"/>
        <v>800</v>
      </c>
      <c r="O10" s="86" t="s">
        <v>169</v>
      </c>
      <c r="P10" s="101">
        <v>5440</v>
      </c>
      <c r="Q10" s="81" t="s">
        <v>267</v>
      </c>
      <c r="R10" s="96">
        <f t="shared" si="1"/>
        <v>6240</v>
      </c>
      <c r="S10" s="105" t="s">
        <v>142</v>
      </c>
      <c r="T10" s="103"/>
      <c r="U10" s="104"/>
      <c r="V10" s="103"/>
      <c r="W10"/>
    </row>
    <row r="11" spans="1:23" ht="24" customHeight="1">
      <c r="A11" s="76" t="s">
        <v>238</v>
      </c>
      <c r="B11" s="81" t="s">
        <v>82</v>
      </c>
      <c r="C11" s="81" t="s">
        <v>235</v>
      </c>
      <c r="D11" s="81" t="s">
        <v>17</v>
      </c>
      <c r="E11" s="81" t="s">
        <v>105</v>
      </c>
      <c r="F11" s="81" t="s">
        <v>239</v>
      </c>
      <c r="G11" s="66">
        <v>2</v>
      </c>
      <c r="H11" s="86">
        <v>70</v>
      </c>
      <c r="I11" s="86">
        <v>70</v>
      </c>
      <c r="J11" s="86">
        <v>145</v>
      </c>
      <c r="K11" s="86">
        <v>550</v>
      </c>
      <c r="L11" s="86">
        <v>15</v>
      </c>
      <c r="M11" s="86">
        <v>60</v>
      </c>
      <c r="N11" s="91">
        <f t="shared" si="0"/>
        <v>910</v>
      </c>
      <c r="O11" s="86" t="s">
        <v>169</v>
      </c>
      <c r="P11" s="101">
        <v>4520</v>
      </c>
      <c r="Q11" s="81" t="s">
        <v>219</v>
      </c>
      <c r="R11" s="96">
        <f t="shared" si="1"/>
        <v>5430</v>
      </c>
      <c r="S11" s="105" t="s">
        <v>141</v>
      </c>
      <c r="T11" s="103"/>
      <c r="U11" s="104"/>
      <c r="V11" s="103"/>
      <c r="W11"/>
    </row>
    <row r="12" spans="1:23" ht="24" customHeight="1">
      <c r="A12" s="76" t="s">
        <v>240</v>
      </c>
      <c r="B12" s="81" t="s">
        <v>83</v>
      </c>
      <c r="C12" s="81" t="s">
        <v>235</v>
      </c>
      <c r="D12" s="81" t="s">
        <v>17</v>
      </c>
      <c r="E12" s="81" t="s">
        <v>105</v>
      </c>
      <c r="F12" s="81" t="s">
        <v>230</v>
      </c>
      <c r="G12" s="66">
        <v>1</v>
      </c>
      <c r="H12" s="86">
        <v>70</v>
      </c>
      <c r="I12" s="86">
        <v>70</v>
      </c>
      <c r="J12" s="86">
        <v>145</v>
      </c>
      <c r="K12" s="86">
        <v>550</v>
      </c>
      <c r="L12" s="86">
        <v>15</v>
      </c>
      <c r="M12" s="86">
        <v>60</v>
      </c>
      <c r="N12" s="91">
        <f t="shared" si="0"/>
        <v>910</v>
      </c>
      <c r="O12" s="86" t="s">
        <v>169</v>
      </c>
      <c r="P12" s="101">
        <v>4520</v>
      </c>
      <c r="Q12" s="81" t="s">
        <v>219</v>
      </c>
      <c r="R12" s="96">
        <f t="shared" si="1"/>
        <v>5430</v>
      </c>
      <c r="S12" s="105" t="s">
        <v>141</v>
      </c>
      <c r="T12" s="103"/>
      <c r="U12" s="104"/>
      <c r="V12" s="103"/>
      <c r="W12"/>
    </row>
    <row r="13" spans="1:23" ht="24" customHeight="1">
      <c r="A13" s="76" t="s">
        <v>241</v>
      </c>
      <c r="B13" s="81" t="s">
        <v>84</v>
      </c>
      <c r="C13" s="81" t="s">
        <v>235</v>
      </c>
      <c r="D13" s="81" t="s">
        <v>17</v>
      </c>
      <c r="E13" s="81" t="s">
        <v>105</v>
      </c>
      <c r="F13" s="81" t="s">
        <v>230</v>
      </c>
      <c r="G13" s="66">
        <v>0.5</v>
      </c>
      <c r="H13" s="86">
        <v>70</v>
      </c>
      <c r="I13" s="86">
        <v>70</v>
      </c>
      <c r="J13" s="86">
        <v>145</v>
      </c>
      <c r="K13" s="86">
        <v>550</v>
      </c>
      <c r="L13" s="86">
        <v>15</v>
      </c>
      <c r="M13" s="86">
        <v>60</v>
      </c>
      <c r="N13" s="91">
        <f t="shared" si="0"/>
        <v>910</v>
      </c>
      <c r="O13" s="86" t="s">
        <v>169</v>
      </c>
      <c r="P13" s="101">
        <v>4520</v>
      </c>
      <c r="Q13" s="81" t="s">
        <v>219</v>
      </c>
      <c r="R13" s="96">
        <f t="shared" si="1"/>
        <v>5430</v>
      </c>
      <c r="S13" s="105" t="s">
        <v>141</v>
      </c>
      <c r="T13" s="103"/>
      <c r="U13" s="104"/>
      <c r="V13" s="103"/>
      <c r="W13"/>
    </row>
    <row r="14" spans="1:23" ht="24" customHeight="1">
      <c r="A14" s="76" t="s">
        <v>242</v>
      </c>
      <c r="B14" s="81" t="s">
        <v>85</v>
      </c>
      <c r="C14" s="81" t="s">
        <v>235</v>
      </c>
      <c r="D14" s="81" t="s">
        <v>17</v>
      </c>
      <c r="E14" s="81" t="s">
        <v>105</v>
      </c>
      <c r="F14" s="81" t="s">
        <v>230</v>
      </c>
      <c r="G14" s="66">
        <v>2</v>
      </c>
      <c r="H14" s="86">
        <v>70</v>
      </c>
      <c r="I14" s="86">
        <v>70</v>
      </c>
      <c r="J14" s="86">
        <v>145</v>
      </c>
      <c r="K14" s="86">
        <v>250</v>
      </c>
      <c r="L14" s="86">
        <v>15</v>
      </c>
      <c r="M14" s="86">
        <v>60</v>
      </c>
      <c r="N14" s="91">
        <f t="shared" si="0"/>
        <v>610</v>
      </c>
      <c r="O14" s="86" t="s">
        <v>169</v>
      </c>
      <c r="P14" s="101">
        <v>4520</v>
      </c>
      <c r="Q14" s="81" t="s">
        <v>219</v>
      </c>
      <c r="R14" s="96">
        <f t="shared" si="1"/>
        <v>5130</v>
      </c>
      <c r="S14" s="105" t="s">
        <v>141</v>
      </c>
      <c r="T14" s="103"/>
      <c r="U14" s="104"/>
      <c r="V14" s="103"/>
      <c r="W14"/>
    </row>
    <row r="15" spans="1:23" ht="24" customHeight="1">
      <c r="A15" s="76" t="s">
        <v>243</v>
      </c>
      <c r="B15" s="81" t="s">
        <v>86</v>
      </c>
      <c r="C15" s="81" t="s">
        <v>235</v>
      </c>
      <c r="D15" s="81" t="s">
        <v>17</v>
      </c>
      <c r="E15" s="81" t="s">
        <v>105</v>
      </c>
      <c r="F15" s="81" t="s">
        <v>230</v>
      </c>
      <c r="G15" s="66">
        <v>2</v>
      </c>
      <c r="H15" s="86">
        <v>70</v>
      </c>
      <c r="I15" s="86">
        <v>70</v>
      </c>
      <c r="J15" s="86">
        <v>145</v>
      </c>
      <c r="K15" s="86">
        <v>200</v>
      </c>
      <c r="L15" s="86">
        <v>15</v>
      </c>
      <c r="M15" s="86">
        <v>50</v>
      </c>
      <c r="N15" s="91">
        <f t="shared" si="0"/>
        <v>550</v>
      </c>
      <c r="O15" s="86" t="s">
        <v>169</v>
      </c>
      <c r="P15" s="101">
        <v>4560</v>
      </c>
      <c r="Q15" s="81" t="s">
        <v>219</v>
      </c>
      <c r="R15" s="96">
        <f t="shared" si="1"/>
        <v>5110</v>
      </c>
      <c r="S15" s="105" t="s">
        <v>141</v>
      </c>
      <c r="T15" s="103"/>
      <c r="U15" s="104"/>
      <c r="V15" s="103"/>
      <c r="W15"/>
    </row>
    <row r="16" spans="1:23" ht="24" customHeight="1">
      <c r="A16" s="76" t="s">
        <v>244</v>
      </c>
      <c r="B16" s="81" t="s">
        <v>87</v>
      </c>
      <c r="C16" s="81" t="s">
        <v>235</v>
      </c>
      <c r="D16" s="81" t="s">
        <v>17</v>
      </c>
      <c r="E16" s="81" t="s">
        <v>105</v>
      </c>
      <c r="F16" s="81" t="s">
        <v>230</v>
      </c>
      <c r="G16" s="66">
        <v>0.5</v>
      </c>
      <c r="H16" s="86">
        <v>70</v>
      </c>
      <c r="I16" s="86">
        <v>70</v>
      </c>
      <c r="J16" s="86">
        <v>145</v>
      </c>
      <c r="K16" s="86">
        <v>1550</v>
      </c>
      <c r="L16" s="86">
        <v>15</v>
      </c>
      <c r="M16" s="86">
        <v>60</v>
      </c>
      <c r="N16" s="91">
        <f t="shared" si="0"/>
        <v>1910</v>
      </c>
      <c r="O16" s="86" t="s">
        <v>169</v>
      </c>
      <c r="P16" s="101">
        <v>4520</v>
      </c>
      <c r="Q16" s="81" t="s">
        <v>219</v>
      </c>
      <c r="R16" s="96">
        <f t="shared" si="1"/>
        <v>6430</v>
      </c>
      <c r="S16" s="105" t="s">
        <v>141</v>
      </c>
      <c r="T16" s="103"/>
      <c r="U16" s="104"/>
      <c r="V16" s="103"/>
      <c r="W16"/>
    </row>
    <row r="17" spans="1:23" ht="24" customHeight="1">
      <c r="A17" s="76" t="s">
        <v>245</v>
      </c>
      <c r="B17" s="81" t="s">
        <v>97</v>
      </c>
      <c r="C17" s="81" t="s">
        <v>233</v>
      </c>
      <c r="D17" s="81" t="s">
        <v>17</v>
      </c>
      <c r="E17" s="81" t="s">
        <v>105</v>
      </c>
      <c r="F17" s="81" t="s">
        <v>230</v>
      </c>
      <c r="G17" s="66">
        <v>1</v>
      </c>
      <c r="H17" s="86">
        <v>70</v>
      </c>
      <c r="I17" s="86">
        <v>70</v>
      </c>
      <c r="J17" s="86">
        <v>145</v>
      </c>
      <c r="K17" s="86">
        <v>350</v>
      </c>
      <c r="L17" s="86">
        <v>15</v>
      </c>
      <c r="M17" s="86">
        <v>60</v>
      </c>
      <c r="N17" s="91">
        <f t="shared" si="0"/>
        <v>710</v>
      </c>
      <c r="O17" s="86" t="s">
        <v>169</v>
      </c>
      <c r="P17" s="101">
        <v>4520</v>
      </c>
      <c r="Q17" s="81" t="s">
        <v>219</v>
      </c>
      <c r="R17" s="96">
        <f t="shared" si="1"/>
        <v>5230</v>
      </c>
      <c r="S17" s="105" t="s">
        <v>141</v>
      </c>
      <c r="T17" s="103"/>
      <c r="U17" s="104"/>
      <c r="V17" s="103"/>
      <c r="W17"/>
    </row>
    <row r="18" spans="1:23" ht="24" customHeight="1">
      <c r="A18" s="76" t="s">
        <v>246</v>
      </c>
      <c r="B18" s="81" t="s">
        <v>247</v>
      </c>
      <c r="C18" s="81" t="s">
        <v>233</v>
      </c>
      <c r="D18" s="81" t="s">
        <v>44</v>
      </c>
      <c r="E18" s="81" t="s">
        <v>105</v>
      </c>
      <c r="F18" s="81" t="s">
        <v>230</v>
      </c>
      <c r="G18" s="66">
        <v>1</v>
      </c>
      <c r="H18" s="86">
        <v>70</v>
      </c>
      <c r="I18" s="86">
        <v>70</v>
      </c>
      <c r="J18" s="86">
        <v>145</v>
      </c>
      <c r="K18" s="86">
        <v>200</v>
      </c>
      <c r="L18" s="86">
        <v>15</v>
      </c>
      <c r="M18" s="86">
        <v>50</v>
      </c>
      <c r="N18" s="91">
        <f t="shared" si="0"/>
        <v>550</v>
      </c>
      <c r="O18" s="86" t="s">
        <v>169</v>
      </c>
      <c r="P18" s="101">
        <v>4520</v>
      </c>
      <c r="Q18" s="81" t="s">
        <v>222</v>
      </c>
      <c r="R18" s="96">
        <f t="shared" si="1"/>
        <v>5070</v>
      </c>
      <c r="S18" s="105" t="s">
        <v>142</v>
      </c>
      <c r="T18" s="103"/>
      <c r="U18" s="104"/>
      <c r="V18" s="103"/>
      <c r="W18"/>
    </row>
    <row r="19" spans="1:23" ht="24" customHeight="1">
      <c r="A19" s="76" t="s">
        <v>248</v>
      </c>
      <c r="B19" s="81" t="s">
        <v>98</v>
      </c>
      <c r="C19" s="81" t="s">
        <v>233</v>
      </c>
      <c r="D19" s="81" t="s">
        <v>17</v>
      </c>
      <c r="E19" s="81" t="s">
        <v>105</v>
      </c>
      <c r="F19" s="81" t="s">
        <v>239</v>
      </c>
      <c r="G19" s="66">
        <v>1</v>
      </c>
      <c r="H19" s="86">
        <v>70</v>
      </c>
      <c r="I19" s="86">
        <v>70</v>
      </c>
      <c r="J19" s="86">
        <v>145</v>
      </c>
      <c r="K19" s="86">
        <v>50</v>
      </c>
      <c r="L19" s="86">
        <v>15</v>
      </c>
      <c r="M19" s="86">
        <v>60</v>
      </c>
      <c r="N19" s="91">
        <f t="shared" si="0"/>
        <v>410</v>
      </c>
      <c r="O19" s="86" t="s">
        <v>169</v>
      </c>
      <c r="P19" s="101">
        <v>4520</v>
      </c>
      <c r="Q19" s="81" t="s">
        <v>219</v>
      </c>
      <c r="R19" s="96">
        <f t="shared" si="1"/>
        <v>4930</v>
      </c>
      <c r="S19" s="105" t="s">
        <v>141</v>
      </c>
      <c r="T19" s="103"/>
      <c r="U19" s="104"/>
      <c r="V19" s="103"/>
      <c r="W19"/>
    </row>
    <row r="20" spans="1:23" ht="24" customHeight="1">
      <c r="A20" s="76" t="s">
        <v>249</v>
      </c>
      <c r="B20" s="81" t="s">
        <v>250</v>
      </c>
      <c r="C20" s="81" t="s">
        <v>235</v>
      </c>
      <c r="D20" s="81" t="s">
        <v>17</v>
      </c>
      <c r="E20" s="81" t="s">
        <v>105</v>
      </c>
      <c r="F20" s="81" t="s">
        <v>230</v>
      </c>
      <c r="G20" s="66">
        <v>1</v>
      </c>
      <c r="H20" s="86">
        <v>70</v>
      </c>
      <c r="I20" s="86">
        <v>70</v>
      </c>
      <c r="J20" s="86">
        <v>145</v>
      </c>
      <c r="K20" s="86">
        <v>550</v>
      </c>
      <c r="L20" s="86">
        <v>15</v>
      </c>
      <c r="M20" s="86">
        <v>60</v>
      </c>
      <c r="N20" s="91">
        <f t="shared" si="0"/>
        <v>910</v>
      </c>
      <c r="O20" s="86" t="s">
        <v>169</v>
      </c>
      <c r="P20" s="101">
        <v>4520</v>
      </c>
      <c r="Q20" s="81" t="s">
        <v>219</v>
      </c>
      <c r="R20" s="96">
        <f t="shared" si="1"/>
        <v>5430</v>
      </c>
      <c r="S20" s="105" t="s">
        <v>141</v>
      </c>
      <c r="T20" s="103"/>
      <c r="U20" s="104"/>
      <c r="V20" s="103"/>
      <c r="W20"/>
    </row>
    <row r="21" spans="1:23" ht="24" customHeight="1">
      <c r="A21" s="76" t="s">
        <v>251</v>
      </c>
      <c r="B21" s="81" t="s">
        <v>99</v>
      </c>
      <c r="C21" s="81" t="s">
        <v>233</v>
      </c>
      <c r="D21" s="81" t="s">
        <v>17</v>
      </c>
      <c r="E21" s="81" t="s">
        <v>105</v>
      </c>
      <c r="F21" s="81" t="s">
        <v>230</v>
      </c>
      <c r="G21" s="66">
        <v>2</v>
      </c>
      <c r="H21" s="86">
        <v>70</v>
      </c>
      <c r="I21" s="86">
        <v>70</v>
      </c>
      <c r="J21" s="86">
        <v>145</v>
      </c>
      <c r="K21" s="86">
        <v>550</v>
      </c>
      <c r="L21" s="86">
        <v>15</v>
      </c>
      <c r="M21" s="86">
        <v>60</v>
      </c>
      <c r="N21" s="91">
        <f t="shared" si="0"/>
        <v>910</v>
      </c>
      <c r="O21" s="86" t="s">
        <v>169</v>
      </c>
      <c r="P21" s="101">
        <v>4520</v>
      </c>
      <c r="Q21" s="81" t="s">
        <v>219</v>
      </c>
      <c r="R21" s="96">
        <f t="shared" si="1"/>
        <v>5430</v>
      </c>
      <c r="S21" s="105" t="s">
        <v>141</v>
      </c>
      <c r="T21" s="103"/>
      <c r="U21" s="104"/>
      <c r="V21" s="103"/>
      <c r="W21"/>
    </row>
    <row r="22" spans="1:23" ht="24" customHeight="1">
      <c r="A22" s="76" t="s">
        <v>252</v>
      </c>
      <c r="B22" s="81" t="s">
        <v>100</v>
      </c>
      <c r="C22" s="81" t="s">
        <v>233</v>
      </c>
      <c r="D22" s="81" t="s">
        <v>17</v>
      </c>
      <c r="E22" s="81" t="s">
        <v>105</v>
      </c>
      <c r="F22" s="81" t="s">
        <v>230</v>
      </c>
      <c r="G22" s="66">
        <v>2</v>
      </c>
      <c r="H22" s="86">
        <v>70</v>
      </c>
      <c r="I22" s="86">
        <v>70</v>
      </c>
      <c r="J22" s="86">
        <v>145</v>
      </c>
      <c r="K22" s="86">
        <v>1500</v>
      </c>
      <c r="L22" s="86">
        <v>15</v>
      </c>
      <c r="M22" s="86">
        <v>60</v>
      </c>
      <c r="N22" s="91">
        <f t="shared" si="0"/>
        <v>1860</v>
      </c>
      <c r="O22" s="86" t="s">
        <v>169</v>
      </c>
      <c r="P22" s="101">
        <v>4520</v>
      </c>
      <c r="Q22" s="81" t="s">
        <v>219</v>
      </c>
      <c r="R22" s="96">
        <f t="shared" si="1"/>
        <v>6380</v>
      </c>
      <c r="S22" s="105" t="s">
        <v>141</v>
      </c>
      <c r="T22" s="103"/>
      <c r="U22" s="104"/>
      <c r="V22" s="103"/>
      <c r="W22"/>
    </row>
    <row r="23" spans="1:23" ht="22" customHeight="1">
      <c r="A23" s="243" t="s">
        <v>492</v>
      </c>
      <c r="B23" s="244"/>
      <c r="C23" s="244"/>
      <c r="D23" s="244"/>
      <c r="E23" s="244"/>
      <c r="F23" s="244"/>
      <c r="G23" s="244"/>
      <c r="H23" s="244"/>
      <c r="I23" s="244"/>
      <c r="J23" s="244"/>
      <c r="K23" s="244"/>
      <c r="L23" s="244"/>
      <c r="M23" s="244"/>
      <c r="N23" s="244"/>
      <c r="O23" s="244"/>
      <c r="P23" s="244"/>
      <c r="Q23" s="244"/>
      <c r="R23" s="244"/>
      <c r="S23" s="245"/>
      <c r="T23"/>
      <c r="U23"/>
      <c r="V23"/>
      <c r="W23"/>
    </row>
    <row r="24" spans="1:23" ht="24" customHeight="1">
      <c r="A24" s="77" t="s">
        <v>201</v>
      </c>
      <c r="B24" s="82" t="s">
        <v>268</v>
      </c>
      <c r="C24" s="82" t="s">
        <v>280</v>
      </c>
      <c r="D24" s="82" t="s">
        <v>17</v>
      </c>
      <c r="E24" s="82" t="s">
        <v>18</v>
      </c>
      <c r="F24" s="82" t="s">
        <v>199</v>
      </c>
      <c r="G24" s="67">
        <v>2</v>
      </c>
      <c r="H24" s="87">
        <v>70</v>
      </c>
      <c r="I24" s="87">
        <v>70</v>
      </c>
      <c r="J24" s="87">
        <v>140</v>
      </c>
      <c r="K24" s="87">
        <v>400</v>
      </c>
      <c r="L24" s="87">
        <v>10</v>
      </c>
      <c r="M24" s="87">
        <v>70</v>
      </c>
      <c r="N24" s="92">
        <f>SUM(H24:M24)</f>
        <v>760</v>
      </c>
      <c r="O24" s="87">
        <v>2685</v>
      </c>
      <c r="P24" s="101">
        <v>4800</v>
      </c>
      <c r="Q24" s="82" t="s">
        <v>151</v>
      </c>
      <c r="R24" s="97">
        <f>IFERROR(N24+IF(ISNUMBER(O24),O24,0)+IF(ISNUMBER(P24),P24,0),"")</f>
        <v>8245</v>
      </c>
      <c r="S24" s="106" t="s">
        <v>140</v>
      </c>
      <c r="T24" s="103"/>
      <c r="U24" s="104"/>
      <c r="V24" s="103"/>
      <c r="W24"/>
    </row>
    <row r="25" spans="1:23" ht="24" customHeight="1">
      <c r="A25" s="77" t="s">
        <v>204</v>
      </c>
      <c r="B25" s="82" t="s">
        <v>271</v>
      </c>
      <c r="C25" s="82" t="s">
        <v>281</v>
      </c>
      <c r="D25" s="82" t="s">
        <v>17</v>
      </c>
      <c r="E25" s="82" t="s">
        <v>23</v>
      </c>
      <c r="F25" s="82" t="s">
        <v>199</v>
      </c>
      <c r="G25" s="67">
        <v>0</v>
      </c>
      <c r="H25" s="87">
        <v>70</v>
      </c>
      <c r="I25" s="87">
        <v>70</v>
      </c>
      <c r="J25" s="87">
        <v>140</v>
      </c>
      <c r="K25" s="87">
        <v>250</v>
      </c>
      <c r="L25" s="87">
        <v>10</v>
      </c>
      <c r="M25" s="87">
        <v>70</v>
      </c>
      <c r="N25" s="92">
        <f>SUM(H25:M25)</f>
        <v>610</v>
      </c>
      <c r="O25" s="87">
        <v>885</v>
      </c>
      <c r="P25" s="101">
        <v>5800</v>
      </c>
      <c r="Q25" s="82" t="s">
        <v>151</v>
      </c>
      <c r="R25" s="97">
        <f>IFERROR(N25+IF(ISNUMBER(O25),O25,0)+IF(ISNUMBER(P25),P25,0),"")</f>
        <v>7295</v>
      </c>
      <c r="S25" s="106" t="s">
        <v>140</v>
      </c>
      <c r="T25" s="103"/>
      <c r="U25" s="104"/>
      <c r="V25" s="103"/>
      <c r="W25"/>
    </row>
    <row r="26" spans="1:23" ht="24" customHeight="1">
      <c r="A26" s="77" t="s">
        <v>205</v>
      </c>
      <c r="B26" s="82" t="s">
        <v>275</v>
      </c>
      <c r="C26" s="82" t="s">
        <v>282</v>
      </c>
      <c r="D26" s="82" t="s">
        <v>39</v>
      </c>
      <c r="E26" s="82" t="s">
        <v>27</v>
      </c>
      <c r="F26" s="82" t="s">
        <v>194</v>
      </c>
      <c r="G26" s="67">
        <v>3</v>
      </c>
      <c r="H26" s="87">
        <v>70</v>
      </c>
      <c r="I26" s="87">
        <v>70</v>
      </c>
      <c r="J26" s="87">
        <v>140</v>
      </c>
      <c r="K26" s="87">
        <v>300</v>
      </c>
      <c r="L26" s="87">
        <v>30</v>
      </c>
      <c r="M26" s="87">
        <v>70</v>
      </c>
      <c r="N26" s="92">
        <f>SUM(H26:M26)</f>
        <v>680</v>
      </c>
      <c r="O26" s="87">
        <v>2785</v>
      </c>
      <c r="P26" s="101">
        <v>5300</v>
      </c>
      <c r="Q26" s="82" t="s">
        <v>151</v>
      </c>
      <c r="R26" s="97">
        <f>IFERROR(N26+IF(ISNUMBER(O26),O26,0)+IF(ISNUMBER(P26),P26,0),"")</f>
        <v>8765</v>
      </c>
      <c r="S26" s="106" t="s">
        <v>140</v>
      </c>
      <c r="T26" s="103"/>
      <c r="U26" s="104"/>
      <c r="V26" s="103"/>
      <c r="W26"/>
    </row>
    <row r="27" spans="1:23" ht="24" customHeight="1">
      <c r="A27" s="77" t="s">
        <v>207</v>
      </c>
      <c r="B27" s="82" t="s">
        <v>283</v>
      </c>
      <c r="C27" s="82" t="s">
        <v>284</v>
      </c>
      <c r="D27" s="82" t="s">
        <v>29</v>
      </c>
      <c r="E27" s="82" t="s">
        <v>27</v>
      </c>
      <c r="F27" s="82" t="s">
        <v>194</v>
      </c>
      <c r="G27" s="67">
        <v>1</v>
      </c>
      <c r="H27" s="87">
        <v>70</v>
      </c>
      <c r="I27" s="87">
        <v>80</v>
      </c>
      <c r="J27" s="87">
        <v>160</v>
      </c>
      <c r="K27" s="87">
        <v>1000</v>
      </c>
      <c r="L27" s="87">
        <v>50</v>
      </c>
      <c r="M27" s="87">
        <v>75</v>
      </c>
      <c r="N27" s="92">
        <f>SUM(H27:M27)</f>
        <v>1435</v>
      </c>
      <c r="O27" s="87">
        <v>2785</v>
      </c>
      <c r="P27" s="101">
        <v>5200</v>
      </c>
      <c r="Q27" s="82" t="s">
        <v>208</v>
      </c>
      <c r="R27" s="97">
        <f>IFERROR(N27+IF(ISNUMBER(O27),O27,0)+IF(ISNUMBER(P27),P27,0),"")</f>
        <v>9420</v>
      </c>
      <c r="S27" s="106" t="s">
        <v>140</v>
      </c>
      <c r="T27" s="103"/>
      <c r="U27" s="104"/>
      <c r="V27" s="103"/>
      <c r="W27"/>
    </row>
    <row r="28" spans="1:23" ht="24" customHeight="1">
      <c r="A28" s="77" t="s">
        <v>209</v>
      </c>
      <c r="B28" s="82" t="s">
        <v>268</v>
      </c>
      <c r="C28" s="82" t="s">
        <v>284</v>
      </c>
      <c r="D28" s="82" t="s">
        <v>17</v>
      </c>
      <c r="E28" s="82" t="s">
        <v>27</v>
      </c>
      <c r="F28" s="82" t="s">
        <v>194</v>
      </c>
      <c r="G28" s="67">
        <v>2</v>
      </c>
      <c r="H28" s="87">
        <v>70</v>
      </c>
      <c r="I28" s="87">
        <v>70</v>
      </c>
      <c r="J28" s="87">
        <v>140</v>
      </c>
      <c r="K28" s="87">
        <v>400</v>
      </c>
      <c r="L28" s="87">
        <v>10</v>
      </c>
      <c r="M28" s="87">
        <v>70</v>
      </c>
      <c r="N28" s="92">
        <f>SUM(H28:M28)</f>
        <v>760</v>
      </c>
      <c r="O28" s="87">
        <v>2785</v>
      </c>
      <c r="P28" s="101">
        <v>5200</v>
      </c>
      <c r="Q28" s="82" t="s">
        <v>210</v>
      </c>
      <c r="R28" s="97">
        <f>IFERROR(N28+IF(ISNUMBER(O28),O28,0)+IF(ISNUMBER(P28),P28,0),"")</f>
        <v>8745</v>
      </c>
      <c r="S28" s="106" t="s">
        <v>140</v>
      </c>
      <c r="T28" s="103"/>
      <c r="U28" s="104"/>
      <c r="V28" s="103"/>
      <c r="W28"/>
    </row>
    <row r="29" spans="1:23" ht="22" customHeight="1">
      <c r="A29" s="246" t="s">
        <v>493</v>
      </c>
      <c r="B29" s="247"/>
      <c r="C29" s="247"/>
      <c r="D29" s="247"/>
      <c r="E29" s="247"/>
      <c r="F29" s="247"/>
      <c r="G29" s="247"/>
      <c r="H29" s="247"/>
      <c r="I29" s="247"/>
      <c r="J29" s="247"/>
      <c r="K29" s="247"/>
      <c r="L29" s="247"/>
      <c r="M29" s="247"/>
      <c r="N29" s="247"/>
      <c r="O29" s="247"/>
      <c r="P29" s="247"/>
      <c r="Q29" s="247"/>
      <c r="R29" s="247"/>
      <c r="S29" s="248"/>
      <c r="T29"/>
      <c r="U29"/>
      <c r="V29"/>
      <c r="W29"/>
    </row>
    <row r="30" spans="1:23" ht="24" customHeight="1">
      <c r="A30" s="162" t="s">
        <v>225</v>
      </c>
      <c r="B30" s="163" t="s">
        <v>285</v>
      </c>
      <c r="C30" s="163" t="s">
        <v>286</v>
      </c>
      <c r="D30" s="163" t="s">
        <v>56</v>
      </c>
      <c r="E30" s="163" t="s">
        <v>17</v>
      </c>
      <c r="F30" s="163" t="s">
        <v>199</v>
      </c>
      <c r="G30" s="164">
        <v>3</v>
      </c>
      <c r="H30" s="165">
        <v>70</v>
      </c>
      <c r="I30" s="165">
        <v>50</v>
      </c>
      <c r="J30" s="165">
        <v>260</v>
      </c>
      <c r="K30" s="165">
        <v>325</v>
      </c>
      <c r="L30" s="165">
        <v>90</v>
      </c>
      <c r="M30" s="165">
        <v>80</v>
      </c>
      <c r="N30" s="166">
        <f>SUM(H30:M30)</f>
        <v>875</v>
      </c>
      <c r="O30" s="165">
        <v>600</v>
      </c>
      <c r="P30" s="101">
        <v>1</v>
      </c>
      <c r="Q30" s="163" t="s">
        <v>155</v>
      </c>
      <c r="R30" s="168">
        <f>IFERROR(N30+IF(ISNUMBER(O30),O30,0)+IF(ISNUMBER(P30),P30,0),"")</f>
        <v>1476</v>
      </c>
      <c r="S30" s="169" t="s">
        <v>131</v>
      </c>
      <c r="T30" s="103"/>
      <c r="U30" s="104"/>
      <c r="V30" s="103"/>
      <c r="W30"/>
    </row>
    <row r="31" spans="1:23" ht="24" customHeight="1">
      <c r="A31" s="162" t="s">
        <v>226</v>
      </c>
      <c r="B31" s="163" t="s">
        <v>287</v>
      </c>
      <c r="C31" s="163" t="s">
        <v>286</v>
      </c>
      <c r="D31" s="163" t="s">
        <v>227</v>
      </c>
      <c r="E31" s="163" t="s">
        <v>17</v>
      </c>
      <c r="F31" s="163" t="s">
        <v>199</v>
      </c>
      <c r="G31" s="164">
        <v>3</v>
      </c>
      <c r="H31" s="165">
        <v>50</v>
      </c>
      <c r="I31" s="165">
        <v>35</v>
      </c>
      <c r="J31" s="165">
        <v>125</v>
      </c>
      <c r="K31" s="165">
        <v>280</v>
      </c>
      <c r="L31" s="165">
        <v>150</v>
      </c>
      <c r="M31" s="165">
        <v>50</v>
      </c>
      <c r="N31" s="166">
        <f>SUM(H31:M31)</f>
        <v>690</v>
      </c>
      <c r="O31" s="165">
        <v>600</v>
      </c>
      <c r="P31" s="101">
        <v>1</v>
      </c>
      <c r="Q31" s="163" t="s">
        <v>156</v>
      </c>
      <c r="R31" s="168">
        <f>IFERROR(N31+IF(ISNUMBER(O31),O31,0)+IF(ISNUMBER(P31),P31,0),"")</f>
        <v>1291</v>
      </c>
      <c r="S31" s="169" t="s">
        <v>131</v>
      </c>
      <c r="T31" s="103"/>
      <c r="U31" s="104"/>
      <c r="V31" s="103"/>
      <c r="W31"/>
    </row>
    <row r="32" spans="1:23" ht="22" customHeight="1">
      <c r="A32" s="249" t="s">
        <v>481</v>
      </c>
      <c r="B32" s="250"/>
      <c r="C32" s="250"/>
      <c r="D32" s="250"/>
      <c r="E32" s="250"/>
      <c r="F32" s="250"/>
      <c r="G32" s="250"/>
      <c r="H32" s="250"/>
      <c r="I32" s="250"/>
      <c r="J32" s="250"/>
      <c r="K32" s="250"/>
      <c r="L32" s="250"/>
      <c r="M32" s="250"/>
      <c r="N32" s="250"/>
      <c r="O32" s="250"/>
      <c r="P32" s="250"/>
      <c r="Q32" s="250"/>
      <c r="R32" s="250"/>
      <c r="S32" s="251"/>
      <c r="T32"/>
      <c r="U32"/>
      <c r="V32"/>
      <c r="W32"/>
    </row>
    <row r="33" spans="1:23" ht="24" customHeight="1">
      <c r="A33" s="78" t="s">
        <v>216</v>
      </c>
      <c r="B33" s="83" t="s">
        <v>271</v>
      </c>
      <c r="C33" s="83" t="s">
        <v>272</v>
      </c>
      <c r="D33" s="83" t="s">
        <v>17</v>
      </c>
      <c r="E33" s="83" t="s">
        <v>39</v>
      </c>
      <c r="F33" s="83" t="s">
        <v>199</v>
      </c>
      <c r="G33" s="68">
        <v>1</v>
      </c>
      <c r="H33" s="88">
        <v>70</v>
      </c>
      <c r="I33" s="88">
        <v>70</v>
      </c>
      <c r="J33" s="88">
        <v>140</v>
      </c>
      <c r="K33" s="88">
        <v>250</v>
      </c>
      <c r="L33" s="88">
        <v>10</v>
      </c>
      <c r="M33" s="88">
        <v>70</v>
      </c>
      <c r="N33" s="93">
        <f>SUM(H33:M33)</f>
        <v>610</v>
      </c>
      <c r="O33" s="88">
        <v>800</v>
      </c>
      <c r="P33" s="101">
        <v>1340</v>
      </c>
      <c r="Q33" s="83" t="s">
        <v>155</v>
      </c>
      <c r="R33" s="98">
        <f>IFERROR(N33+IF(ISNUMBER(O33),O33,0)+IF(ISNUMBER(P33),P33,0),"")</f>
        <v>2750</v>
      </c>
      <c r="S33" s="107" t="s">
        <v>142</v>
      </c>
      <c r="T33" s="103"/>
      <c r="U33" s="104"/>
      <c r="V33" s="103"/>
      <c r="W33"/>
    </row>
    <row r="34" spans="1:23" ht="24" customHeight="1">
      <c r="A34" s="78" t="s">
        <v>273</v>
      </c>
      <c r="B34" s="83" t="s">
        <v>274</v>
      </c>
      <c r="C34" s="83" t="s">
        <v>275</v>
      </c>
      <c r="D34" s="83" t="s">
        <v>17</v>
      </c>
      <c r="E34" s="83" t="s">
        <v>39</v>
      </c>
      <c r="F34" s="83" t="s">
        <v>199</v>
      </c>
      <c r="G34" s="68">
        <v>3</v>
      </c>
      <c r="H34" s="88">
        <v>70</v>
      </c>
      <c r="I34" s="88">
        <v>70</v>
      </c>
      <c r="J34" s="88">
        <v>140</v>
      </c>
      <c r="K34" s="88">
        <v>250</v>
      </c>
      <c r="L34" s="88">
        <v>10</v>
      </c>
      <c r="M34" s="88">
        <v>70</v>
      </c>
      <c r="N34" s="93">
        <f>SUM(H34:M34)</f>
        <v>610</v>
      </c>
      <c r="O34" s="88">
        <v>800</v>
      </c>
      <c r="P34" s="101">
        <v>1340</v>
      </c>
      <c r="Q34" s="83" t="s">
        <v>155</v>
      </c>
      <c r="R34" s="98">
        <f>IFERROR(N34+IF(ISNUMBER(O34),O34,0)+IF(ISNUMBER(P34),P34,0),"")</f>
        <v>2750</v>
      </c>
      <c r="S34" s="107" t="s">
        <v>142</v>
      </c>
      <c r="T34" s="103"/>
      <c r="U34" s="104"/>
      <c r="V34" s="103"/>
      <c r="W34"/>
    </row>
    <row r="35" spans="1:23" ht="24" customHeight="1">
      <c r="A35" s="78" t="s">
        <v>218</v>
      </c>
      <c r="B35" s="83" t="s">
        <v>276</v>
      </c>
      <c r="C35" s="83" t="s">
        <v>277</v>
      </c>
      <c r="D35" s="83" t="s">
        <v>44</v>
      </c>
      <c r="E35" s="83" t="s">
        <v>39</v>
      </c>
      <c r="F35" s="83" t="s">
        <v>199</v>
      </c>
      <c r="G35" s="68">
        <v>0.5</v>
      </c>
      <c r="H35" s="88">
        <v>70</v>
      </c>
      <c r="I35" s="88">
        <v>70</v>
      </c>
      <c r="J35" s="88">
        <v>140</v>
      </c>
      <c r="K35" s="88">
        <v>420</v>
      </c>
      <c r="L35" s="88">
        <v>30</v>
      </c>
      <c r="M35" s="88">
        <v>70</v>
      </c>
      <c r="N35" s="93">
        <f>SUM(H35:M35)</f>
        <v>800</v>
      </c>
      <c r="O35" s="88">
        <v>800</v>
      </c>
      <c r="P35" s="101">
        <v>1600</v>
      </c>
      <c r="Q35" s="83" t="s">
        <v>219</v>
      </c>
      <c r="R35" s="98">
        <f>IFERROR(N35+IF(ISNUMBER(O35),O35,0)+IF(ISNUMBER(P35),P35,0),"")</f>
        <v>3200</v>
      </c>
      <c r="S35" s="107" t="s">
        <v>142</v>
      </c>
      <c r="T35" s="103"/>
      <c r="U35" s="104"/>
      <c r="V35" s="103"/>
      <c r="W35"/>
    </row>
    <row r="36" spans="1:23" ht="24" customHeight="1">
      <c r="A36" s="78" t="s">
        <v>220</v>
      </c>
      <c r="B36" s="83" t="s">
        <v>278</v>
      </c>
      <c r="C36" s="83" t="s">
        <v>275</v>
      </c>
      <c r="D36" s="83" t="s">
        <v>46</v>
      </c>
      <c r="E36" s="83" t="s">
        <v>39</v>
      </c>
      <c r="F36" s="83" t="s">
        <v>199</v>
      </c>
      <c r="G36" s="68">
        <v>0.5</v>
      </c>
      <c r="H36" s="88">
        <v>70</v>
      </c>
      <c r="I36" s="88">
        <v>70</v>
      </c>
      <c r="J36" s="88">
        <v>140</v>
      </c>
      <c r="K36" s="88">
        <v>420</v>
      </c>
      <c r="L36" s="88">
        <v>30</v>
      </c>
      <c r="M36" s="88">
        <v>70</v>
      </c>
      <c r="N36" s="93">
        <f>SUM(H36:M36)</f>
        <v>800</v>
      </c>
      <c r="O36" s="88">
        <v>800</v>
      </c>
      <c r="P36" s="101">
        <v>150</v>
      </c>
      <c r="Q36" s="83" t="s">
        <v>222</v>
      </c>
      <c r="R36" s="98">
        <f>IFERROR(N36+IF(ISNUMBER(O36),O36,0)+IF(ISNUMBER(P36),P36,0),"")</f>
        <v>1750</v>
      </c>
      <c r="S36" s="107"/>
      <c r="T36" s="103"/>
      <c r="U36" s="104"/>
      <c r="V36" s="103"/>
      <c r="W36"/>
    </row>
    <row r="37" spans="1:23" ht="24" customHeight="1">
      <c r="A37" s="78" t="s">
        <v>223</v>
      </c>
      <c r="B37" s="83" t="s">
        <v>275</v>
      </c>
      <c r="C37" s="83" t="s">
        <v>279</v>
      </c>
      <c r="D37" s="83" t="s">
        <v>39</v>
      </c>
      <c r="E37" s="83" t="s">
        <v>79</v>
      </c>
      <c r="F37" s="83" t="s">
        <v>224</v>
      </c>
      <c r="G37" s="68">
        <v>6</v>
      </c>
      <c r="H37" s="88">
        <v>70</v>
      </c>
      <c r="I37" s="88">
        <v>70</v>
      </c>
      <c r="J37" s="88">
        <v>140</v>
      </c>
      <c r="K37" s="88">
        <v>300</v>
      </c>
      <c r="L37" s="88">
        <v>30</v>
      </c>
      <c r="M37" s="88">
        <v>70</v>
      </c>
      <c r="N37" s="93">
        <f>SUM(H37:M37)</f>
        <v>680</v>
      </c>
      <c r="O37" s="88">
        <v>2200</v>
      </c>
      <c r="P37" s="101">
        <v>3380</v>
      </c>
      <c r="Q37" s="83" t="s">
        <v>154</v>
      </c>
      <c r="R37" s="98">
        <f>IFERROR(N37+IF(ISNUMBER(O37),O37,0)+IF(ISNUMBER(P37),P37,0),"")</f>
        <v>6260</v>
      </c>
      <c r="S37" s="107" t="s">
        <v>142</v>
      </c>
      <c r="T37" s="103"/>
      <c r="U37" s="104"/>
      <c r="V37" s="103"/>
      <c r="W37"/>
    </row>
    <row r="38" spans="1:23" ht="22" customHeight="1">
      <c r="A38" s="234" t="s">
        <v>482</v>
      </c>
      <c r="B38" s="235"/>
      <c r="C38" s="235"/>
      <c r="D38" s="235"/>
      <c r="E38" s="235"/>
      <c r="F38" s="235"/>
      <c r="G38" s="235"/>
      <c r="H38" s="235"/>
      <c r="I38" s="235"/>
      <c r="J38" s="235"/>
      <c r="K38" s="235"/>
      <c r="L38" s="235"/>
      <c r="M38" s="235"/>
      <c r="N38" s="235"/>
      <c r="O38" s="235"/>
      <c r="P38" s="235"/>
      <c r="Q38" s="235"/>
      <c r="R38" s="235"/>
      <c r="S38" s="236"/>
      <c r="T38"/>
      <c r="U38"/>
      <c r="V38"/>
      <c r="W38"/>
    </row>
    <row r="39" spans="1:23" ht="24" customHeight="1">
      <c r="A39" s="79" t="s">
        <v>211</v>
      </c>
      <c r="B39" s="84" t="s">
        <v>286</v>
      </c>
      <c r="C39" s="84" t="s">
        <v>279</v>
      </c>
      <c r="D39" s="84" t="s">
        <v>17</v>
      </c>
      <c r="E39" s="84" t="s">
        <v>79</v>
      </c>
      <c r="F39" s="84" t="s">
        <v>199</v>
      </c>
      <c r="G39" s="69">
        <v>1</v>
      </c>
      <c r="H39" s="89">
        <v>70</v>
      </c>
      <c r="I39" s="89">
        <v>70</v>
      </c>
      <c r="J39" s="89">
        <v>140</v>
      </c>
      <c r="K39" s="89">
        <v>400</v>
      </c>
      <c r="L39" s="89">
        <v>10</v>
      </c>
      <c r="M39" s="89">
        <v>70</v>
      </c>
      <c r="N39" s="94">
        <f>SUM(H39:M39)</f>
        <v>760</v>
      </c>
      <c r="O39" s="89">
        <v>2200</v>
      </c>
      <c r="P39" s="101">
        <v>3500</v>
      </c>
      <c r="Q39" s="84" t="s">
        <v>153</v>
      </c>
      <c r="R39" s="99">
        <f>IFERROR(N39+IF(ISNUMBER(O39),O39,0)+IF(ISNUMBER(P39),P39,0),"")</f>
        <v>6460</v>
      </c>
      <c r="S39" s="108" t="s">
        <v>212</v>
      </c>
      <c r="T39" s="103"/>
      <c r="U39" s="104"/>
      <c r="V39" s="103"/>
      <c r="W39"/>
    </row>
    <row r="40" spans="1:23" ht="24" customHeight="1">
      <c r="A40" s="79" t="s">
        <v>214</v>
      </c>
      <c r="B40" s="84" t="s">
        <v>288</v>
      </c>
      <c r="C40" s="84" t="s">
        <v>289</v>
      </c>
      <c r="D40" s="84" t="s">
        <v>29</v>
      </c>
      <c r="E40" s="84" t="s">
        <v>79</v>
      </c>
      <c r="F40" s="84" t="s">
        <v>199</v>
      </c>
      <c r="G40" s="69">
        <v>2</v>
      </c>
      <c r="H40" s="89">
        <v>70</v>
      </c>
      <c r="I40" s="89">
        <v>70</v>
      </c>
      <c r="J40" s="89">
        <v>140</v>
      </c>
      <c r="K40" s="89">
        <v>300</v>
      </c>
      <c r="L40" s="89">
        <v>250</v>
      </c>
      <c r="M40" s="89">
        <v>70</v>
      </c>
      <c r="N40" s="94">
        <f>SUM(H40:M40)</f>
        <v>900</v>
      </c>
      <c r="O40" s="89">
        <v>2200</v>
      </c>
      <c r="P40" s="101">
        <v>3380</v>
      </c>
      <c r="Q40" s="84" t="s">
        <v>151</v>
      </c>
      <c r="R40" s="99">
        <f>IFERROR(N40+IF(ISNUMBER(O40),O40,0)+IF(ISNUMBER(P40),P40,0),"")</f>
        <v>6480</v>
      </c>
      <c r="S40" s="108" t="s">
        <v>140</v>
      </c>
      <c r="T40" s="103"/>
      <c r="U40" s="104"/>
      <c r="V40" s="103"/>
      <c r="W40"/>
    </row>
    <row r="41" spans="1:23" ht="24" customHeight="1" thickBot="1">
      <c r="A41" s="80" t="s">
        <v>215</v>
      </c>
      <c r="B41" s="85" t="s">
        <v>290</v>
      </c>
      <c r="C41" s="85" t="s">
        <v>289</v>
      </c>
      <c r="D41" s="85" t="s">
        <v>56</v>
      </c>
      <c r="E41" s="85" t="s">
        <v>79</v>
      </c>
      <c r="F41" s="85" t="s">
        <v>199</v>
      </c>
      <c r="G41" s="70">
        <v>0.5</v>
      </c>
      <c r="H41" s="90">
        <v>70</v>
      </c>
      <c r="I41" s="90">
        <v>70</v>
      </c>
      <c r="J41" s="90">
        <v>140</v>
      </c>
      <c r="K41" s="90">
        <v>300</v>
      </c>
      <c r="L41" s="90">
        <v>250</v>
      </c>
      <c r="M41" s="90">
        <v>70</v>
      </c>
      <c r="N41" s="95">
        <f>SUM(H41:M41)</f>
        <v>900</v>
      </c>
      <c r="O41" s="90">
        <v>2200</v>
      </c>
      <c r="P41" s="102">
        <v>3530</v>
      </c>
      <c r="Q41" s="85" t="s">
        <v>154</v>
      </c>
      <c r="R41" s="100">
        <f>IFERROR(N41+IF(ISNUMBER(O41),O41,0)+IF(ISNUMBER(P41),P41,0),"")</f>
        <v>6630</v>
      </c>
      <c r="S41" s="109" t="s">
        <v>142</v>
      </c>
      <c r="T41" s="103"/>
      <c r="U41" s="104"/>
      <c r="V41" s="103"/>
      <c r="W41"/>
    </row>
    <row r="42" spans="1:23">
      <c r="A42"/>
      <c r="B42"/>
      <c r="C42"/>
      <c r="D42"/>
      <c r="E42"/>
      <c r="F42"/>
      <c r="G42" s="64"/>
      <c r="H42"/>
      <c r="I42"/>
      <c r="J42"/>
      <c r="K42"/>
      <c r="L42"/>
      <c r="M42"/>
      <c r="N42"/>
      <c r="O42"/>
      <c r="P42"/>
      <c r="Q42"/>
      <c r="R42"/>
      <c r="S42"/>
      <c r="T42"/>
      <c r="U42"/>
      <c r="V42"/>
      <c r="W42"/>
    </row>
    <row r="43" spans="1:23">
      <c r="A43"/>
      <c r="B43"/>
      <c r="C43"/>
      <c r="D43"/>
      <c r="E43"/>
      <c r="F43"/>
      <c r="G43" s="64"/>
      <c r="H43"/>
      <c r="I43"/>
      <c r="J43"/>
      <c r="K43"/>
      <c r="L43"/>
      <c r="M43"/>
      <c r="N43"/>
      <c r="O43"/>
      <c r="P43"/>
      <c r="Q43"/>
      <c r="R43"/>
      <c r="S43"/>
      <c r="T43"/>
      <c r="U43"/>
      <c r="V43"/>
      <c r="W43"/>
    </row>
    <row r="44" spans="1:23">
      <c r="A44"/>
      <c r="B44"/>
      <c r="C44"/>
      <c r="D44"/>
      <c r="E44"/>
      <c r="F44"/>
      <c r="G44" s="64"/>
      <c r="H44"/>
      <c r="I44"/>
      <c r="J44"/>
      <c r="K44"/>
      <c r="L44"/>
      <c r="M44"/>
      <c r="N44"/>
      <c r="O44"/>
      <c r="P44"/>
      <c r="Q44"/>
      <c r="R44"/>
      <c r="S44"/>
      <c r="T44"/>
      <c r="U44"/>
      <c r="V44"/>
      <c r="W44"/>
    </row>
    <row r="45" spans="1:23">
      <c r="A45"/>
      <c r="B45"/>
      <c r="C45"/>
      <c r="D45"/>
      <c r="E45"/>
      <c r="F45"/>
      <c r="G45" s="64"/>
      <c r="H45"/>
      <c r="I45"/>
      <c r="J45"/>
      <c r="K45"/>
      <c r="L45"/>
      <c r="M45"/>
      <c r="N45"/>
      <c r="O45"/>
      <c r="P45"/>
      <c r="Q45"/>
      <c r="R45"/>
      <c r="S45"/>
      <c r="T45"/>
      <c r="U45"/>
      <c r="V45"/>
      <c r="W45"/>
    </row>
    <row r="46" spans="1:23">
      <c r="A46"/>
      <c r="B46"/>
      <c r="C46"/>
      <c r="D46"/>
      <c r="E46"/>
      <c r="F46"/>
      <c r="G46" s="64"/>
      <c r="H46"/>
      <c r="I46"/>
      <c r="J46"/>
      <c r="K46"/>
      <c r="L46"/>
      <c r="M46"/>
      <c r="N46"/>
      <c r="O46"/>
      <c r="P46"/>
      <c r="Q46"/>
      <c r="R46"/>
      <c r="S46"/>
      <c r="T46"/>
      <c r="U46"/>
      <c r="V46"/>
      <c r="W46"/>
    </row>
    <row r="47" spans="1:23">
      <c r="A47"/>
      <c r="B47"/>
      <c r="C47"/>
      <c r="D47"/>
      <c r="E47"/>
      <c r="F47"/>
      <c r="G47" s="64"/>
      <c r="H47"/>
      <c r="I47"/>
      <c r="J47"/>
      <c r="K47"/>
      <c r="L47"/>
      <c r="M47"/>
      <c r="N47"/>
      <c r="O47"/>
      <c r="P47"/>
      <c r="Q47"/>
      <c r="R47"/>
      <c r="S47"/>
      <c r="T47"/>
      <c r="U47"/>
      <c r="V47"/>
      <c r="W47"/>
    </row>
    <row r="48" spans="1:23">
      <c r="A48"/>
      <c r="B48"/>
      <c r="C48"/>
      <c r="D48"/>
      <c r="E48"/>
      <c r="F48"/>
      <c r="G48" s="64"/>
      <c r="H48"/>
      <c r="I48"/>
      <c r="J48"/>
      <c r="K48"/>
      <c r="L48"/>
      <c r="M48"/>
      <c r="N48"/>
      <c r="O48"/>
      <c r="P48"/>
      <c r="Q48"/>
      <c r="R48"/>
      <c r="S48"/>
      <c r="T48"/>
      <c r="U48"/>
      <c r="V48"/>
      <c r="W48"/>
    </row>
    <row r="49" spans="1:23">
      <c r="A49"/>
      <c r="B49"/>
      <c r="C49"/>
      <c r="D49"/>
      <c r="E49"/>
      <c r="F49"/>
      <c r="G49" s="64"/>
      <c r="H49"/>
      <c r="I49"/>
      <c r="J49"/>
      <c r="K49"/>
      <c r="L49"/>
      <c r="M49"/>
      <c r="N49"/>
      <c r="O49"/>
      <c r="P49"/>
      <c r="Q49"/>
      <c r="R49"/>
      <c r="S49"/>
      <c r="T49"/>
      <c r="U49"/>
      <c r="V49"/>
      <c r="W49"/>
    </row>
    <row r="50" spans="1:23">
      <c r="A50"/>
      <c r="B50"/>
      <c r="C50"/>
      <c r="D50"/>
      <c r="E50"/>
      <c r="F50"/>
      <c r="G50" s="64"/>
      <c r="H50"/>
      <c r="I50"/>
      <c r="J50"/>
      <c r="K50"/>
      <c r="L50"/>
      <c r="M50"/>
      <c r="N50"/>
      <c r="O50"/>
      <c r="P50"/>
      <c r="Q50"/>
      <c r="R50"/>
      <c r="S50"/>
      <c r="T50"/>
      <c r="U50"/>
      <c r="V50"/>
      <c r="W50"/>
    </row>
    <row r="51" spans="1:23">
      <c r="A51"/>
      <c r="B51"/>
      <c r="C51"/>
      <c r="D51"/>
      <c r="E51"/>
      <c r="F51"/>
      <c r="G51" s="64"/>
      <c r="H51"/>
      <c r="I51"/>
      <c r="J51"/>
      <c r="K51"/>
      <c r="L51"/>
      <c r="M51"/>
      <c r="N51"/>
      <c r="O51"/>
      <c r="P51"/>
      <c r="Q51"/>
      <c r="R51"/>
      <c r="S51"/>
      <c r="T51"/>
      <c r="U51"/>
      <c r="V51"/>
      <c r="W51"/>
    </row>
    <row r="52" spans="1:23">
      <c r="A52"/>
      <c r="B52"/>
      <c r="C52"/>
      <c r="D52"/>
      <c r="E52"/>
      <c r="F52"/>
      <c r="G52" s="64"/>
      <c r="H52"/>
      <c r="I52"/>
      <c r="J52"/>
      <c r="K52"/>
      <c r="L52"/>
      <c r="M52"/>
      <c r="N52"/>
      <c r="O52"/>
      <c r="P52"/>
      <c r="Q52"/>
      <c r="R52"/>
      <c r="S52"/>
      <c r="T52"/>
      <c r="U52"/>
      <c r="V52"/>
      <c r="W52"/>
    </row>
    <row r="53" spans="1:23">
      <c r="A53"/>
      <c r="B53"/>
      <c r="C53"/>
      <c r="D53"/>
      <c r="E53"/>
      <c r="F53"/>
      <c r="G53" s="64"/>
      <c r="H53"/>
      <c r="I53"/>
      <c r="J53"/>
      <c r="K53"/>
      <c r="L53"/>
      <c r="M53"/>
      <c r="N53"/>
      <c r="O53"/>
      <c r="P53"/>
      <c r="Q53"/>
      <c r="R53"/>
      <c r="S53"/>
      <c r="T53"/>
      <c r="U53"/>
      <c r="V53"/>
      <c r="W53"/>
    </row>
    <row r="54" spans="1:23">
      <c r="A54"/>
      <c r="B54"/>
      <c r="C54"/>
      <c r="D54"/>
      <c r="E54"/>
      <c r="F54"/>
      <c r="G54" s="64"/>
      <c r="H54"/>
      <c r="I54"/>
      <c r="J54"/>
      <c r="K54"/>
      <c r="L54"/>
      <c r="M54"/>
      <c r="N54"/>
      <c r="O54"/>
      <c r="P54"/>
      <c r="Q54"/>
      <c r="R54"/>
      <c r="S54"/>
      <c r="T54"/>
      <c r="U54"/>
      <c r="V54"/>
      <c r="W54"/>
    </row>
    <row r="55" spans="1:23">
      <c r="A55"/>
      <c r="B55"/>
      <c r="C55"/>
      <c r="D55"/>
      <c r="E55"/>
      <c r="F55"/>
      <c r="G55" s="64"/>
      <c r="H55"/>
      <c r="I55"/>
      <c r="J55"/>
      <c r="K55"/>
      <c r="L55"/>
      <c r="M55"/>
      <c r="N55"/>
      <c r="O55"/>
      <c r="P55"/>
      <c r="Q55"/>
      <c r="R55"/>
      <c r="S55"/>
      <c r="T55"/>
      <c r="U55"/>
      <c r="V55"/>
      <c r="W55"/>
    </row>
    <row r="56" spans="1:23">
      <c r="A56"/>
      <c r="B56"/>
      <c r="C56"/>
      <c r="D56"/>
      <c r="E56"/>
      <c r="F56"/>
      <c r="G56" s="64"/>
      <c r="H56"/>
      <c r="I56"/>
      <c r="J56"/>
      <c r="K56"/>
      <c r="L56"/>
      <c r="M56"/>
      <c r="N56"/>
      <c r="O56"/>
      <c r="P56"/>
      <c r="Q56"/>
      <c r="R56"/>
      <c r="S56"/>
      <c r="T56"/>
      <c r="U56"/>
      <c r="V56"/>
      <c r="W56"/>
    </row>
    <row r="57" spans="1:23">
      <c r="A57"/>
      <c r="B57"/>
      <c r="C57"/>
      <c r="D57"/>
      <c r="E57"/>
      <c r="F57"/>
      <c r="G57" s="64"/>
      <c r="H57"/>
      <c r="I57"/>
      <c r="J57"/>
      <c r="K57"/>
      <c r="L57"/>
      <c r="M57"/>
      <c r="N57"/>
      <c r="O57"/>
      <c r="P57"/>
      <c r="Q57"/>
      <c r="R57"/>
      <c r="S57"/>
      <c r="T57"/>
      <c r="U57"/>
      <c r="V57"/>
      <c r="W57"/>
    </row>
    <row r="58" spans="1:23">
      <c r="A58"/>
      <c r="B58"/>
      <c r="C58"/>
      <c r="D58"/>
      <c r="E58"/>
      <c r="F58"/>
      <c r="G58" s="64"/>
      <c r="H58"/>
      <c r="I58"/>
      <c r="J58"/>
      <c r="K58"/>
      <c r="L58"/>
      <c r="M58"/>
      <c r="N58"/>
      <c r="O58"/>
      <c r="P58"/>
      <c r="Q58"/>
      <c r="R58"/>
      <c r="S58"/>
      <c r="T58"/>
      <c r="U58"/>
      <c r="V58"/>
      <c r="W58"/>
    </row>
    <row r="59" spans="1:23">
      <c r="A59"/>
      <c r="B59"/>
      <c r="C59"/>
      <c r="D59"/>
      <c r="E59"/>
      <c r="F59"/>
      <c r="G59" s="64"/>
      <c r="H59"/>
      <c r="I59"/>
      <c r="J59"/>
      <c r="K59"/>
      <c r="L59"/>
      <c r="M59"/>
      <c r="N59"/>
      <c r="O59"/>
      <c r="P59"/>
      <c r="Q59"/>
      <c r="R59"/>
      <c r="S59"/>
      <c r="T59"/>
      <c r="U59"/>
      <c r="V59"/>
      <c r="W59"/>
    </row>
    <row r="60" spans="1:23">
      <c r="A60"/>
      <c r="B60"/>
      <c r="C60"/>
      <c r="D60"/>
      <c r="E60"/>
      <c r="F60"/>
      <c r="G60" s="64"/>
      <c r="H60"/>
      <c r="I60"/>
      <c r="J60"/>
      <c r="K60"/>
      <c r="L60"/>
      <c r="M60"/>
      <c r="N60"/>
      <c r="O60"/>
      <c r="P60"/>
      <c r="Q60"/>
      <c r="R60"/>
      <c r="S60"/>
      <c r="T60"/>
      <c r="U60"/>
      <c r="V60"/>
      <c r="W60"/>
    </row>
    <row r="61" spans="1:23">
      <c r="A61"/>
      <c r="B61"/>
      <c r="C61"/>
      <c r="D61"/>
      <c r="E61"/>
      <c r="F61"/>
      <c r="G61" s="64"/>
      <c r="H61"/>
      <c r="I61"/>
      <c r="J61"/>
      <c r="K61"/>
      <c r="L61"/>
      <c r="M61"/>
      <c r="N61"/>
      <c r="O61"/>
      <c r="P61"/>
      <c r="Q61"/>
      <c r="R61"/>
      <c r="S61"/>
      <c r="T61"/>
      <c r="U61"/>
      <c r="V61"/>
      <c r="W61"/>
    </row>
    <row r="62" spans="1:23">
      <c r="A62"/>
      <c r="B62"/>
      <c r="C62"/>
      <c r="D62"/>
      <c r="E62"/>
      <c r="F62"/>
      <c r="G62" s="64"/>
      <c r="H62"/>
      <c r="I62"/>
      <c r="J62"/>
      <c r="K62"/>
      <c r="L62"/>
      <c r="M62"/>
      <c r="N62"/>
      <c r="O62"/>
      <c r="P62"/>
      <c r="Q62"/>
      <c r="R62"/>
      <c r="S62"/>
      <c r="T62"/>
      <c r="U62"/>
      <c r="V62"/>
      <c r="W62"/>
    </row>
    <row r="63" spans="1:23">
      <c r="A63"/>
      <c r="B63"/>
      <c r="C63"/>
      <c r="D63"/>
      <c r="E63"/>
      <c r="F63"/>
      <c r="G63" s="64"/>
      <c r="H63"/>
      <c r="I63"/>
      <c r="J63"/>
      <c r="K63"/>
      <c r="L63"/>
      <c r="M63"/>
      <c r="N63"/>
      <c r="O63"/>
      <c r="P63"/>
      <c r="Q63"/>
      <c r="R63"/>
      <c r="S63"/>
      <c r="T63"/>
      <c r="U63"/>
      <c r="V63"/>
      <c r="W63"/>
    </row>
    <row r="64" spans="1:23">
      <c r="A64"/>
      <c r="B64"/>
      <c r="C64"/>
      <c r="D64"/>
      <c r="E64"/>
      <c r="F64"/>
      <c r="G64" s="64"/>
      <c r="H64"/>
      <c r="I64"/>
      <c r="J64"/>
      <c r="K64"/>
      <c r="L64"/>
      <c r="M64"/>
      <c r="N64"/>
      <c r="O64"/>
      <c r="P64"/>
      <c r="Q64"/>
      <c r="R64"/>
      <c r="S64"/>
      <c r="T64"/>
      <c r="U64"/>
      <c r="V64"/>
      <c r="W64"/>
    </row>
    <row r="65" spans="1:23">
      <c r="A65"/>
      <c r="B65"/>
      <c r="C65"/>
      <c r="D65"/>
      <c r="E65"/>
      <c r="F65"/>
      <c r="G65" s="64"/>
      <c r="H65"/>
      <c r="I65"/>
      <c r="J65"/>
      <c r="K65"/>
      <c r="L65"/>
      <c r="M65"/>
      <c r="N65"/>
      <c r="O65"/>
      <c r="P65"/>
      <c r="Q65"/>
      <c r="R65"/>
      <c r="S65"/>
      <c r="T65"/>
      <c r="U65"/>
      <c r="V65"/>
      <c r="W65"/>
    </row>
    <row r="66" spans="1:23">
      <c r="A66"/>
      <c r="B66"/>
      <c r="C66"/>
      <c r="D66"/>
      <c r="E66"/>
      <c r="F66"/>
      <c r="G66" s="64"/>
      <c r="H66"/>
      <c r="I66"/>
      <c r="J66"/>
      <c r="K66"/>
      <c r="L66"/>
      <c r="M66"/>
      <c r="N66"/>
      <c r="O66"/>
      <c r="P66"/>
      <c r="Q66"/>
      <c r="R66"/>
      <c r="S66"/>
      <c r="T66"/>
      <c r="U66"/>
      <c r="V66"/>
      <c r="W66"/>
    </row>
    <row r="67" spans="1:23">
      <c r="A67"/>
      <c r="B67"/>
      <c r="C67"/>
      <c r="D67"/>
      <c r="E67"/>
      <c r="F67"/>
      <c r="G67" s="64"/>
      <c r="H67"/>
      <c r="I67"/>
      <c r="J67"/>
      <c r="K67"/>
      <c r="L67"/>
      <c r="M67"/>
      <c r="N67"/>
      <c r="O67"/>
      <c r="P67"/>
      <c r="Q67"/>
      <c r="R67"/>
      <c r="S67"/>
      <c r="T67"/>
      <c r="U67"/>
      <c r="V67"/>
      <c r="W67"/>
    </row>
    <row r="68" spans="1:23">
      <c r="A68"/>
      <c r="B68"/>
      <c r="C68"/>
      <c r="D68"/>
      <c r="E68"/>
      <c r="F68"/>
      <c r="G68" s="64"/>
      <c r="H68"/>
      <c r="I68"/>
      <c r="J68"/>
      <c r="K68"/>
      <c r="L68"/>
      <c r="M68"/>
      <c r="N68"/>
      <c r="O68"/>
      <c r="P68"/>
      <c r="Q68"/>
      <c r="R68"/>
      <c r="S68"/>
      <c r="T68"/>
      <c r="U68"/>
      <c r="V68"/>
      <c r="W68"/>
    </row>
    <row r="69" spans="1:23">
      <c r="A69"/>
      <c r="B69"/>
      <c r="C69"/>
      <c r="D69"/>
      <c r="E69"/>
      <c r="F69"/>
      <c r="G69" s="64"/>
      <c r="H69"/>
      <c r="I69"/>
      <c r="J69"/>
      <c r="K69"/>
      <c r="L69"/>
      <c r="M69"/>
      <c r="N69"/>
      <c r="O69"/>
      <c r="P69"/>
      <c r="Q69"/>
      <c r="R69"/>
      <c r="S69"/>
      <c r="T69"/>
      <c r="U69"/>
      <c r="V69"/>
      <c r="W69"/>
    </row>
    <row r="70" spans="1:23">
      <c r="A70"/>
      <c r="B70"/>
      <c r="C70"/>
      <c r="D70"/>
      <c r="E70"/>
      <c r="F70"/>
      <c r="G70" s="64"/>
      <c r="H70"/>
      <c r="I70"/>
      <c r="J70"/>
      <c r="K70"/>
      <c r="L70"/>
      <c r="M70"/>
      <c r="N70"/>
      <c r="O70"/>
      <c r="P70"/>
      <c r="Q70"/>
      <c r="R70"/>
      <c r="S70"/>
      <c r="T70"/>
      <c r="U70"/>
      <c r="V70"/>
      <c r="W70"/>
    </row>
    <row r="71" spans="1:23">
      <c r="A71"/>
      <c r="B71"/>
      <c r="C71"/>
      <c r="D71"/>
      <c r="E71"/>
      <c r="F71"/>
      <c r="G71" s="64"/>
      <c r="H71"/>
      <c r="I71"/>
      <c r="J71"/>
      <c r="K71"/>
      <c r="L71"/>
      <c r="M71"/>
      <c r="N71"/>
      <c r="O71"/>
      <c r="P71"/>
      <c r="Q71"/>
      <c r="R71"/>
      <c r="S71"/>
      <c r="T71"/>
      <c r="U71"/>
      <c r="V71"/>
      <c r="W71"/>
    </row>
    <row r="72" spans="1:23">
      <c r="A72"/>
      <c r="B72"/>
      <c r="C72"/>
      <c r="D72"/>
      <c r="E72"/>
      <c r="F72"/>
      <c r="G72" s="64"/>
      <c r="H72"/>
      <c r="I72"/>
      <c r="J72"/>
      <c r="K72"/>
      <c r="L72"/>
      <c r="M72"/>
      <c r="N72"/>
      <c r="O72"/>
      <c r="P72"/>
      <c r="Q72"/>
      <c r="R72"/>
      <c r="S72"/>
      <c r="T72"/>
      <c r="U72"/>
      <c r="V72"/>
      <c r="W72"/>
    </row>
    <row r="73" spans="1:23">
      <c r="A73"/>
      <c r="B73"/>
      <c r="C73"/>
      <c r="D73"/>
      <c r="E73"/>
      <c r="F73"/>
      <c r="G73" s="64"/>
      <c r="H73"/>
      <c r="I73"/>
      <c r="J73"/>
      <c r="K73"/>
      <c r="L73"/>
      <c r="M73"/>
      <c r="N73"/>
      <c r="O73"/>
      <c r="P73"/>
      <c r="Q73"/>
      <c r="R73"/>
      <c r="S73"/>
      <c r="T73"/>
      <c r="U73"/>
      <c r="V73"/>
      <c r="W73"/>
    </row>
    <row r="74" spans="1:23">
      <c r="A74"/>
      <c r="B74"/>
      <c r="C74"/>
      <c r="D74"/>
      <c r="E74"/>
      <c r="F74"/>
      <c r="G74" s="64"/>
      <c r="H74"/>
      <c r="I74"/>
      <c r="J74"/>
      <c r="K74"/>
      <c r="L74"/>
      <c r="M74"/>
      <c r="N74"/>
      <c r="O74"/>
      <c r="P74"/>
      <c r="Q74"/>
      <c r="R74"/>
      <c r="S74"/>
      <c r="T74"/>
      <c r="U74"/>
      <c r="V74"/>
      <c r="W74"/>
    </row>
    <row r="75" spans="1:23">
      <c r="A75"/>
      <c r="B75"/>
      <c r="C75"/>
      <c r="D75"/>
      <c r="E75"/>
      <c r="F75"/>
      <c r="G75" s="64"/>
      <c r="H75"/>
      <c r="I75"/>
      <c r="J75"/>
      <c r="K75"/>
      <c r="L75"/>
      <c r="M75"/>
      <c r="N75"/>
      <c r="O75"/>
      <c r="P75"/>
      <c r="Q75"/>
      <c r="R75"/>
      <c r="S75"/>
      <c r="T75"/>
      <c r="U75"/>
      <c r="V75"/>
      <c r="W75"/>
    </row>
    <row r="76" spans="1:23">
      <c r="A76"/>
      <c r="B76"/>
      <c r="C76"/>
      <c r="D76"/>
      <c r="E76"/>
      <c r="F76"/>
      <c r="G76" s="64"/>
      <c r="H76"/>
      <c r="I76"/>
      <c r="J76"/>
      <c r="K76"/>
      <c r="L76"/>
      <c r="M76"/>
      <c r="N76"/>
      <c r="O76"/>
      <c r="P76"/>
      <c r="Q76"/>
      <c r="R76"/>
      <c r="S76"/>
      <c r="T76"/>
      <c r="U76"/>
      <c r="V76"/>
      <c r="W76"/>
    </row>
    <row r="77" spans="1:23">
      <c r="A77"/>
      <c r="B77"/>
      <c r="C77"/>
      <c r="D77"/>
      <c r="E77"/>
      <c r="F77"/>
      <c r="G77" s="64"/>
      <c r="H77"/>
      <c r="I77"/>
      <c r="J77"/>
      <c r="K77"/>
      <c r="L77"/>
      <c r="M77"/>
      <c r="N77"/>
      <c r="O77"/>
      <c r="P77"/>
      <c r="Q77"/>
      <c r="R77"/>
      <c r="S77"/>
      <c r="T77"/>
      <c r="U77"/>
      <c r="V77"/>
      <c r="W77"/>
    </row>
    <row r="78" spans="1:23">
      <c r="A78"/>
      <c r="B78"/>
      <c r="C78"/>
      <c r="D78"/>
      <c r="E78"/>
      <c r="F78"/>
      <c r="G78" s="64"/>
      <c r="H78"/>
      <c r="I78"/>
      <c r="J78"/>
      <c r="K78"/>
      <c r="L78"/>
      <c r="M78"/>
      <c r="N78"/>
      <c r="O78"/>
      <c r="P78"/>
      <c r="Q78"/>
      <c r="R78"/>
      <c r="S78"/>
      <c r="T78"/>
      <c r="U78"/>
      <c r="V78"/>
      <c r="W78"/>
    </row>
    <row r="79" spans="1:23">
      <c r="A79"/>
      <c r="B79"/>
      <c r="C79"/>
      <c r="D79"/>
      <c r="E79"/>
      <c r="F79"/>
      <c r="G79" s="64"/>
      <c r="H79"/>
      <c r="I79"/>
      <c r="J79"/>
      <c r="K79"/>
      <c r="L79"/>
      <c r="M79"/>
      <c r="N79"/>
      <c r="O79"/>
      <c r="P79"/>
      <c r="Q79"/>
      <c r="R79"/>
      <c r="S79"/>
      <c r="T79"/>
      <c r="U79"/>
      <c r="V79"/>
      <c r="W79"/>
    </row>
    <row r="80" spans="1:23">
      <c r="A80"/>
      <c r="B80"/>
      <c r="C80"/>
      <c r="D80"/>
      <c r="E80"/>
      <c r="F80"/>
      <c r="G80" s="64"/>
      <c r="H80"/>
      <c r="I80"/>
      <c r="J80"/>
      <c r="K80"/>
      <c r="L80"/>
      <c r="M80"/>
      <c r="N80"/>
      <c r="O80"/>
      <c r="P80"/>
      <c r="Q80"/>
      <c r="R80"/>
      <c r="S80"/>
      <c r="T80"/>
      <c r="U80"/>
      <c r="V80"/>
      <c r="W80"/>
    </row>
    <row r="81" spans="1:23">
      <c r="A81"/>
      <c r="B81"/>
      <c r="C81"/>
      <c r="D81"/>
      <c r="E81"/>
      <c r="F81"/>
      <c r="G81" s="64"/>
      <c r="H81"/>
      <c r="I81"/>
      <c r="J81"/>
      <c r="K81"/>
      <c r="L81"/>
      <c r="M81"/>
      <c r="N81"/>
      <c r="O81"/>
      <c r="P81"/>
      <c r="Q81"/>
      <c r="R81"/>
      <c r="S81"/>
      <c r="T81"/>
      <c r="U81"/>
      <c r="V81"/>
      <c r="W81"/>
    </row>
    <row r="82" spans="1:23">
      <c r="A82"/>
      <c r="B82"/>
      <c r="C82"/>
      <c r="D82"/>
      <c r="E82"/>
      <c r="F82"/>
      <c r="G82" s="64"/>
      <c r="H82"/>
      <c r="I82"/>
      <c r="J82"/>
      <c r="K82"/>
      <c r="L82"/>
      <c r="M82"/>
      <c r="N82"/>
      <c r="O82"/>
      <c r="P82"/>
      <c r="Q82"/>
      <c r="R82"/>
      <c r="S82"/>
      <c r="T82"/>
      <c r="U82"/>
      <c r="V82"/>
      <c r="W82"/>
    </row>
    <row r="83" spans="1:23">
      <c r="A83"/>
      <c r="B83"/>
      <c r="C83"/>
      <c r="D83"/>
      <c r="E83"/>
      <c r="F83"/>
      <c r="G83" s="64"/>
      <c r="H83"/>
      <c r="I83"/>
      <c r="J83"/>
      <c r="K83"/>
      <c r="L83"/>
      <c r="M83"/>
      <c r="N83"/>
      <c r="O83"/>
      <c r="P83"/>
      <c r="Q83"/>
      <c r="R83"/>
      <c r="S83"/>
      <c r="T83"/>
      <c r="U83"/>
      <c r="V83"/>
      <c r="W83"/>
    </row>
    <row r="84" spans="1:23">
      <c r="A84"/>
      <c r="B84"/>
      <c r="C84"/>
      <c r="D84"/>
      <c r="E84"/>
      <c r="F84"/>
      <c r="G84" s="64"/>
      <c r="H84"/>
      <c r="I84"/>
      <c r="J84"/>
      <c r="K84"/>
      <c r="L84"/>
      <c r="M84"/>
      <c r="N84"/>
      <c r="O84"/>
      <c r="P84"/>
      <c r="Q84"/>
      <c r="R84"/>
      <c r="S84"/>
      <c r="T84"/>
      <c r="U84"/>
      <c r="V84"/>
      <c r="W84"/>
    </row>
    <row r="85" spans="1:23">
      <c r="A85"/>
      <c r="B85"/>
      <c r="C85"/>
      <c r="D85"/>
      <c r="E85"/>
      <c r="F85"/>
      <c r="G85" s="64"/>
      <c r="H85"/>
      <c r="I85"/>
      <c r="J85"/>
      <c r="K85"/>
      <c r="L85"/>
      <c r="M85"/>
      <c r="N85"/>
      <c r="O85"/>
      <c r="P85"/>
      <c r="Q85"/>
      <c r="R85"/>
      <c r="S85"/>
      <c r="T85"/>
      <c r="U85"/>
      <c r="V85"/>
      <c r="W85"/>
    </row>
    <row r="86" spans="1:23">
      <c r="A86"/>
      <c r="B86"/>
      <c r="C86"/>
      <c r="D86"/>
      <c r="E86"/>
      <c r="F86"/>
      <c r="G86" s="64"/>
      <c r="H86"/>
      <c r="I86"/>
      <c r="J86"/>
      <c r="K86"/>
      <c r="L86"/>
      <c r="M86"/>
      <c r="N86"/>
      <c r="O86"/>
      <c r="P86"/>
      <c r="Q86"/>
      <c r="R86"/>
      <c r="S86"/>
      <c r="T86"/>
      <c r="U86"/>
      <c r="V86"/>
      <c r="W86"/>
    </row>
    <row r="87" spans="1:23">
      <c r="A87"/>
      <c r="B87"/>
      <c r="C87"/>
      <c r="D87"/>
      <c r="E87"/>
      <c r="F87"/>
      <c r="G87" s="64"/>
      <c r="H87"/>
      <c r="I87"/>
      <c r="J87"/>
      <c r="K87"/>
      <c r="L87"/>
      <c r="M87"/>
      <c r="N87"/>
      <c r="O87"/>
      <c r="P87"/>
      <c r="Q87"/>
      <c r="R87"/>
      <c r="S87"/>
      <c r="T87"/>
      <c r="U87"/>
      <c r="V87"/>
      <c r="W87"/>
    </row>
    <row r="88" spans="1:23">
      <c r="A88"/>
      <c r="B88"/>
      <c r="C88"/>
      <c r="D88"/>
      <c r="E88"/>
      <c r="F88"/>
      <c r="G88" s="64"/>
      <c r="H88"/>
      <c r="I88"/>
      <c r="J88"/>
      <c r="K88"/>
      <c r="L88"/>
      <c r="M88"/>
      <c r="N88"/>
      <c r="O88"/>
      <c r="P88"/>
      <c r="Q88"/>
      <c r="R88"/>
      <c r="S88"/>
      <c r="T88"/>
      <c r="U88"/>
      <c r="V88"/>
      <c r="W88"/>
    </row>
    <row r="89" spans="1:23">
      <c r="A89"/>
      <c r="B89"/>
      <c r="C89"/>
      <c r="D89"/>
      <c r="E89"/>
      <c r="F89"/>
      <c r="G89" s="64"/>
      <c r="H89"/>
      <c r="I89"/>
      <c r="J89"/>
      <c r="K89"/>
      <c r="L89"/>
      <c r="M89"/>
      <c r="N89"/>
      <c r="O89"/>
      <c r="P89"/>
      <c r="Q89"/>
      <c r="R89"/>
      <c r="S89"/>
      <c r="T89"/>
      <c r="U89"/>
      <c r="V89"/>
      <c r="W89"/>
    </row>
    <row r="90" spans="1:23">
      <c r="A90"/>
      <c r="B90"/>
      <c r="C90"/>
      <c r="D90"/>
      <c r="E90"/>
      <c r="F90"/>
      <c r="G90" s="64"/>
      <c r="H90"/>
      <c r="I90"/>
      <c r="J90"/>
      <c r="K90"/>
      <c r="L90"/>
      <c r="M90"/>
      <c r="N90"/>
      <c r="O90"/>
      <c r="P90"/>
      <c r="Q90"/>
      <c r="R90"/>
      <c r="S90"/>
      <c r="T90"/>
      <c r="U90"/>
      <c r="V90"/>
      <c r="W90"/>
    </row>
    <row r="91" spans="1:23">
      <c r="A91"/>
      <c r="B91"/>
      <c r="C91"/>
      <c r="D91"/>
      <c r="E91"/>
      <c r="F91"/>
      <c r="G91" s="64"/>
      <c r="H91"/>
      <c r="I91"/>
      <c r="J91"/>
      <c r="K91"/>
      <c r="L91"/>
      <c r="M91"/>
      <c r="N91"/>
      <c r="O91"/>
      <c r="P91"/>
      <c r="Q91"/>
      <c r="R91"/>
      <c r="S91"/>
      <c r="T91"/>
      <c r="U91"/>
      <c r="V91"/>
      <c r="W91"/>
    </row>
    <row r="92" spans="1:23">
      <c r="A92"/>
      <c r="B92"/>
      <c r="C92"/>
      <c r="D92"/>
      <c r="E92"/>
      <c r="F92"/>
      <c r="G92" s="64"/>
      <c r="H92"/>
      <c r="I92"/>
      <c r="J92"/>
      <c r="K92"/>
      <c r="L92"/>
      <c r="M92"/>
      <c r="N92"/>
      <c r="O92"/>
      <c r="P92"/>
      <c r="Q92"/>
      <c r="R92"/>
      <c r="S92"/>
      <c r="T92"/>
      <c r="U92"/>
      <c r="V92"/>
      <c r="W92"/>
    </row>
    <row r="93" spans="1:23">
      <c r="A93"/>
      <c r="B93"/>
      <c r="C93"/>
      <c r="D93"/>
      <c r="E93"/>
      <c r="F93"/>
      <c r="G93" s="64"/>
      <c r="H93"/>
      <c r="I93"/>
      <c r="J93"/>
      <c r="K93"/>
      <c r="L93"/>
      <c r="M93"/>
      <c r="N93"/>
      <c r="O93"/>
      <c r="P93"/>
      <c r="Q93"/>
      <c r="R93"/>
      <c r="S93"/>
      <c r="T93"/>
      <c r="U93"/>
      <c r="V93"/>
      <c r="W93"/>
    </row>
    <row r="94" spans="1:23">
      <c r="A94"/>
      <c r="B94"/>
      <c r="C94"/>
      <c r="D94"/>
      <c r="E94"/>
      <c r="F94"/>
      <c r="G94" s="64"/>
      <c r="H94"/>
      <c r="I94"/>
      <c r="J94"/>
      <c r="K94"/>
      <c r="L94"/>
      <c r="M94"/>
      <c r="N94"/>
      <c r="O94"/>
      <c r="P94"/>
      <c r="Q94"/>
      <c r="R94"/>
      <c r="S94"/>
      <c r="T94"/>
      <c r="U94"/>
      <c r="V94"/>
      <c r="W94"/>
    </row>
    <row r="95" spans="1:23">
      <c r="A95"/>
      <c r="B95"/>
      <c r="C95"/>
      <c r="D95"/>
      <c r="E95"/>
      <c r="F95"/>
      <c r="G95" s="64"/>
      <c r="H95"/>
      <c r="I95"/>
      <c r="J95"/>
      <c r="K95"/>
      <c r="L95"/>
      <c r="M95"/>
      <c r="N95"/>
      <c r="O95"/>
      <c r="P95"/>
      <c r="Q95"/>
      <c r="R95"/>
      <c r="S95"/>
      <c r="T95"/>
      <c r="U95"/>
      <c r="V95"/>
      <c r="W95"/>
    </row>
    <row r="96" spans="1:23">
      <c r="A96"/>
      <c r="B96"/>
      <c r="C96"/>
      <c r="D96"/>
      <c r="E96"/>
      <c r="F96"/>
      <c r="G96" s="64"/>
      <c r="H96"/>
      <c r="I96"/>
      <c r="J96"/>
      <c r="K96"/>
      <c r="L96"/>
      <c r="M96"/>
      <c r="N96"/>
      <c r="O96"/>
      <c r="P96"/>
      <c r="Q96"/>
      <c r="R96"/>
      <c r="S96"/>
      <c r="T96"/>
      <c r="U96"/>
      <c r="V96"/>
      <c r="W96"/>
    </row>
    <row r="97" spans="1:23">
      <c r="A97"/>
      <c r="B97"/>
      <c r="C97"/>
      <c r="D97"/>
      <c r="E97"/>
      <c r="F97"/>
      <c r="G97" s="64"/>
      <c r="H97"/>
      <c r="I97"/>
      <c r="J97"/>
      <c r="K97"/>
      <c r="L97"/>
      <c r="M97"/>
      <c r="N97"/>
      <c r="O97"/>
      <c r="P97"/>
      <c r="Q97"/>
      <c r="R97"/>
      <c r="S97"/>
      <c r="T97"/>
      <c r="U97"/>
      <c r="V97"/>
      <c r="W97"/>
    </row>
    <row r="98" spans="1:23">
      <c r="A98"/>
      <c r="B98"/>
      <c r="C98"/>
      <c r="D98"/>
      <c r="E98"/>
      <c r="F98"/>
      <c r="G98" s="64"/>
      <c r="H98"/>
      <c r="I98"/>
      <c r="J98"/>
      <c r="K98"/>
      <c r="L98"/>
      <c r="M98"/>
      <c r="N98"/>
      <c r="O98"/>
      <c r="P98"/>
      <c r="Q98"/>
      <c r="R98"/>
      <c r="S98"/>
      <c r="T98"/>
      <c r="U98"/>
      <c r="V98"/>
      <c r="W98"/>
    </row>
    <row r="99" spans="1:23">
      <c r="A99"/>
      <c r="B99"/>
      <c r="C99"/>
      <c r="D99"/>
      <c r="E99"/>
      <c r="F99"/>
      <c r="G99" s="64"/>
      <c r="H99"/>
      <c r="I99"/>
      <c r="J99"/>
      <c r="K99"/>
      <c r="L99"/>
      <c r="M99"/>
      <c r="N99"/>
      <c r="O99"/>
      <c r="P99"/>
      <c r="Q99"/>
      <c r="R99"/>
      <c r="S99"/>
      <c r="T99"/>
      <c r="U99"/>
      <c r="V99"/>
      <c r="W99"/>
    </row>
    <row r="100" spans="1:23">
      <c r="A100"/>
      <c r="B100"/>
      <c r="C100"/>
      <c r="D100"/>
      <c r="E100"/>
      <c r="F100"/>
      <c r="G100" s="64"/>
      <c r="H100"/>
      <c r="I100"/>
      <c r="J100"/>
      <c r="K100"/>
      <c r="L100"/>
      <c r="M100"/>
      <c r="N100"/>
      <c r="O100"/>
      <c r="P100"/>
      <c r="Q100"/>
      <c r="R100"/>
      <c r="S100"/>
      <c r="T100"/>
      <c r="U100"/>
      <c r="V100"/>
      <c r="W100"/>
    </row>
  </sheetData>
  <protectedRanges>
    <protectedRange sqref="Q16:Q17" name="区域1_1_2_2_1"/>
  </protectedRanges>
  <mergeCells count="6">
    <mergeCell ref="A2:S2"/>
    <mergeCell ref="A5:S5"/>
    <mergeCell ref="A23:S23"/>
    <mergeCell ref="A29:S29"/>
    <mergeCell ref="A32:S32"/>
    <mergeCell ref="A38:S38"/>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8B293-5E7F-46BE-B32C-A0AB09B7C627}">
  <dimension ref="A1:Q52"/>
  <sheetViews>
    <sheetView topLeftCell="D1" zoomScaleNormal="100" workbookViewId="0">
      <pane ySplit="1" topLeftCell="A2" activePane="bottomLeft" state="frozen"/>
      <selection pane="bottomLeft" activeCell="L14" sqref="L14"/>
    </sheetView>
  </sheetViews>
  <sheetFormatPr baseColWidth="10" defaultColWidth="9" defaultRowHeight="15"/>
  <cols>
    <col min="1" max="1" width="12.33203125" style="32" bestFit="1" customWidth="1"/>
    <col min="2" max="2" width="33.1640625" style="39" customWidth="1"/>
    <col min="3" max="3" width="13.6640625" style="38" customWidth="1"/>
    <col min="4" max="4" width="12.6640625" style="37" customWidth="1"/>
    <col min="5" max="5" width="11" style="37" customWidth="1"/>
    <col min="6" max="6" width="9.1640625" style="37" bestFit="1" customWidth="1"/>
    <col min="7" max="7" width="12" style="37" customWidth="1"/>
    <col min="8" max="9" width="13.5" style="37" customWidth="1"/>
    <col min="10" max="11" width="14.1640625" style="37" customWidth="1"/>
    <col min="12" max="12" width="60.5" style="34" customWidth="1"/>
    <col min="13" max="13" width="11.1640625" style="33" customWidth="1"/>
    <col min="14" max="16384" width="9" style="32"/>
  </cols>
  <sheetData>
    <row r="1" spans="1:13" ht="28.5" customHeight="1">
      <c r="B1" s="11" t="s">
        <v>1</v>
      </c>
      <c r="C1" s="11" t="s">
        <v>2</v>
      </c>
      <c r="D1" s="11" t="s">
        <v>3</v>
      </c>
      <c r="E1" s="11" t="s">
        <v>4</v>
      </c>
      <c r="F1" s="11" t="s">
        <v>71</v>
      </c>
      <c r="G1" s="42" t="s">
        <v>187</v>
      </c>
      <c r="H1" s="42" t="s">
        <v>161</v>
      </c>
      <c r="I1" s="42" t="s">
        <v>181</v>
      </c>
      <c r="J1" s="42" t="s">
        <v>162</v>
      </c>
      <c r="K1" s="42"/>
      <c r="L1" s="11" t="s">
        <v>63</v>
      </c>
      <c r="M1" s="41" t="s">
        <v>117</v>
      </c>
    </row>
    <row r="2" spans="1:13" ht="25" customHeight="1">
      <c r="A2" s="288" t="s">
        <v>67</v>
      </c>
      <c r="B2" s="15" t="s">
        <v>66</v>
      </c>
      <c r="C2" s="15" t="s">
        <v>70</v>
      </c>
      <c r="D2" s="12" t="s">
        <v>17</v>
      </c>
      <c r="E2" s="12" t="s">
        <v>31</v>
      </c>
      <c r="F2" s="12" t="s">
        <v>73</v>
      </c>
      <c r="G2" s="28">
        <v>16</v>
      </c>
      <c r="H2" s="61" t="s">
        <v>179</v>
      </c>
      <c r="I2" s="61"/>
      <c r="J2" s="28" t="s">
        <v>163</v>
      </c>
      <c r="K2" s="28" t="s">
        <v>189</v>
      </c>
      <c r="L2" s="296" t="s">
        <v>176</v>
      </c>
      <c r="M2" s="298" t="s">
        <v>65</v>
      </c>
    </row>
    <row r="3" spans="1:13" ht="25" customHeight="1">
      <c r="A3" s="290"/>
      <c r="B3" s="15" t="s">
        <v>60</v>
      </c>
      <c r="C3" s="15" t="s">
        <v>70</v>
      </c>
      <c r="D3" s="12" t="s">
        <v>17</v>
      </c>
      <c r="E3" s="13" t="s">
        <v>31</v>
      </c>
      <c r="F3" s="12" t="s">
        <v>72</v>
      </c>
      <c r="G3" s="28">
        <v>3</v>
      </c>
      <c r="H3" s="61" t="s">
        <v>180</v>
      </c>
      <c r="I3" s="61"/>
      <c r="J3" s="28" t="s">
        <v>163</v>
      </c>
      <c r="K3" s="28" t="s">
        <v>189</v>
      </c>
      <c r="L3" s="297"/>
      <c r="M3" s="298"/>
    </row>
    <row r="4" spans="1:13" ht="18" customHeight="1">
      <c r="H4" s="53"/>
      <c r="I4" s="53"/>
    </row>
    <row r="5" spans="1:13" ht="18" customHeight="1">
      <c r="A5" s="288" t="s">
        <v>68</v>
      </c>
      <c r="B5" s="3" t="s">
        <v>15</v>
      </c>
      <c r="C5" s="4" t="s">
        <v>16</v>
      </c>
      <c r="D5" s="5" t="s">
        <v>17</v>
      </c>
      <c r="E5" s="5" t="s">
        <v>18</v>
      </c>
      <c r="F5" s="12" t="s">
        <v>72</v>
      </c>
      <c r="G5" s="28">
        <v>2</v>
      </c>
      <c r="H5" s="299" t="s">
        <v>151</v>
      </c>
      <c r="I5" s="55"/>
      <c r="J5" s="305" t="s">
        <v>163</v>
      </c>
      <c r="K5" s="305" t="s">
        <v>163</v>
      </c>
      <c r="L5" s="301" t="s">
        <v>114</v>
      </c>
      <c r="M5" s="32"/>
    </row>
    <row r="6" spans="1:13" ht="18" customHeight="1">
      <c r="A6" s="290"/>
      <c r="B6" s="3" t="s">
        <v>21</v>
      </c>
      <c r="C6" s="4" t="s">
        <v>22</v>
      </c>
      <c r="D6" s="5" t="s">
        <v>17</v>
      </c>
      <c r="E6" s="5" t="s">
        <v>23</v>
      </c>
      <c r="F6" s="12" t="s">
        <v>72</v>
      </c>
      <c r="G6" s="28">
        <v>0</v>
      </c>
      <c r="H6" s="300"/>
      <c r="I6" s="54"/>
      <c r="J6" s="306"/>
      <c r="K6" s="306"/>
      <c r="L6" s="297"/>
      <c r="M6" s="32"/>
    </row>
    <row r="7" spans="1:13" ht="18" customHeight="1">
      <c r="A7" s="288" t="s">
        <v>69</v>
      </c>
      <c r="B7" s="3" t="s">
        <v>24</v>
      </c>
      <c r="C7" s="4" t="s">
        <v>25</v>
      </c>
      <c r="D7" s="5" t="s">
        <v>26</v>
      </c>
      <c r="E7" s="5" t="s">
        <v>27</v>
      </c>
      <c r="F7" s="12" t="s">
        <v>73</v>
      </c>
      <c r="G7" s="27">
        <v>3</v>
      </c>
      <c r="H7" s="52" t="s">
        <v>151</v>
      </c>
      <c r="I7" s="52"/>
      <c r="J7" s="28" t="s">
        <v>163</v>
      </c>
      <c r="K7" s="28" t="s">
        <v>163</v>
      </c>
      <c r="L7" s="291" t="s">
        <v>178</v>
      </c>
      <c r="M7" s="293" t="s">
        <v>149</v>
      </c>
    </row>
    <row r="8" spans="1:13" ht="18" customHeight="1">
      <c r="A8" s="289"/>
      <c r="B8" s="3" t="s">
        <v>28</v>
      </c>
      <c r="C8" s="4" t="s">
        <v>25</v>
      </c>
      <c r="D8" s="5" t="s">
        <v>29</v>
      </c>
      <c r="E8" s="5" t="s">
        <v>27</v>
      </c>
      <c r="F8" s="12" t="s">
        <v>73</v>
      </c>
      <c r="G8" s="27">
        <v>1</v>
      </c>
      <c r="H8" s="48" t="s">
        <v>144</v>
      </c>
      <c r="I8" s="52"/>
      <c r="J8" s="28" t="s">
        <v>163</v>
      </c>
      <c r="K8" s="28" t="s">
        <v>163</v>
      </c>
      <c r="L8" s="292"/>
      <c r="M8" s="294"/>
    </row>
    <row r="9" spans="1:13" ht="18" customHeight="1">
      <c r="A9" s="290"/>
      <c r="B9" s="7" t="s">
        <v>15</v>
      </c>
      <c r="C9" s="7" t="s">
        <v>25</v>
      </c>
      <c r="D9" s="8" t="s">
        <v>17</v>
      </c>
      <c r="E9" s="8" t="s">
        <v>27</v>
      </c>
      <c r="F9" s="12" t="s">
        <v>73</v>
      </c>
      <c r="G9" s="27">
        <v>2</v>
      </c>
      <c r="H9" s="48" t="s">
        <v>145</v>
      </c>
      <c r="I9" s="52"/>
      <c r="J9" s="28" t="s">
        <v>163</v>
      </c>
      <c r="K9" s="28" t="s">
        <v>163</v>
      </c>
      <c r="L9" s="284"/>
      <c r="M9" s="295"/>
    </row>
    <row r="10" spans="1:13" ht="18" customHeight="1">
      <c r="H10" s="53"/>
      <c r="I10" s="53"/>
    </row>
    <row r="11" spans="1:13" ht="18" customHeight="1">
      <c r="A11" s="288" t="s">
        <v>75</v>
      </c>
      <c r="B11" s="3" t="s">
        <v>33</v>
      </c>
      <c r="C11" s="3" t="s">
        <v>34</v>
      </c>
      <c r="D11" s="6" t="s">
        <v>17</v>
      </c>
      <c r="E11" s="6" t="s">
        <v>79</v>
      </c>
      <c r="F11" s="12" t="s">
        <v>72</v>
      </c>
      <c r="G11" s="27">
        <v>1</v>
      </c>
      <c r="H11" s="48" t="s">
        <v>153</v>
      </c>
      <c r="I11" s="52"/>
      <c r="J11" s="28" t="s">
        <v>163</v>
      </c>
      <c r="K11" s="28" t="s">
        <v>163</v>
      </c>
      <c r="L11" s="283" t="s">
        <v>112</v>
      </c>
      <c r="M11" s="282" t="s">
        <v>77</v>
      </c>
    </row>
    <row r="12" spans="1:13" ht="18" customHeight="1">
      <c r="A12" s="289"/>
      <c r="B12" s="3" t="s">
        <v>64</v>
      </c>
      <c r="C12" s="3" t="s">
        <v>34</v>
      </c>
      <c r="D12" s="5" t="s">
        <v>29</v>
      </c>
      <c r="E12" s="6" t="s">
        <v>79</v>
      </c>
      <c r="F12" s="12" t="s">
        <v>72</v>
      </c>
      <c r="G12" s="27">
        <v>2</v>
      </c>
      <c r="H12" s="48" t="s">
        <v>151</v>
      </c>
      <c r="I12" s="52"/>
      <c r="J12" s="28" t="s">
        <v>163</v>
      </c>
      <c r="K12" s="28" t="s">
        <v>163</v>
      </c>
      <c r="L12" s="292"/>
      <c r="M12" s="282"/>
    </row>
    <row r="13" spans="1:13" ht="18" customHeight="1">
      <c r="A13" s="290"/>
      <c r="B13" s="3" t="s">
        <v>74</v>
      </c>
      <c r="C13" s="3" t="s">
        <v>34</v>
      </c>
      <c r="D13" s="8" t="s">
        <v>56</v>
      </c>
      <c r="E13" s="6" t="s">
        <v>79</v>
      </c>
      <c r="F13" s="12" t="s">
        <v>72</v>
      </c>
      <c r="G13" s="27">
        <v>0.5</v>
      </c>
      <c r="H13" s="48" t="s">
        <v>154</v>
      </c>
      <c r="I13" s="52"/>
      <c r="J13" s="28" t="s">
        <v>163</v>
      </c>
      <c r="K13" s="28" t="s">
        <v>163</v>
      </c>
      <c r="L13" s="284"/>
      <c r="M13" s="282"/>
    </row>
    <row r="14" spans="1:13" ht="18" customHeight="1">
      <c r="H14" s="53"/>
      <c r="I14" s="53"/>
    </row>
    <row r="15" spans="1:13" ht="18" customHeight="1">
      <c r="A15" s="278" t="s">
        <v>61</v>
      </c>
      <c r="B15" s="7" t="s">
        <v>37</v>
      </c>
      <c r="C15" s="9" t="s">
        <v>38</v>
      </c>
      <c r="D15" s="10" t="s">
        <v>17</v>
      </c>
      <c r="E15" s="10" t="s">
        <v>39</v>
      </c>
      <c r="F15" s="12" t="s">
        <v>72</v>
      </c>
      <c r="G15" s="27">
        <v>1</v>
      </c>
      <c r="H15" s="48" t="s">
        <v>157</v>
      </c>
      <c r="I15" s="52"/>
      <c r="J15" s="28" t="s">
        <v>163</v>
      </c>
      <c r="K15" s="28" t="s">
        <v>163</v>
      </c>
      <c r="L15" s="279" t="s">
        <v>113</v>
      </c>
      <c r="M15" s="282" t="s">
        <v>76</v>
      </c>
    </row>
    <row r="16" spans="1:13" ht="18" customHeight="1">
      <c r="A16" s="278"/>
      <c r="B16" s="3" t="s">
        <v>41</v>
      </c>
      <c r="C16" s="7" t="s">
        <v>42</v>
      </c>
      <c r="D16" s="8" t="s">
        <v>17</v>
      </c>
      <c r="E16" s="6" t="s">
        <v>39</v>
      </c>
      <c r="F16" s="12" t="s">
        <v>72</v>
      </c>
      <c r="G16" s="27">
        <v>3</v>
      </c>
      <c r="H16" s="48" t="s">
        <v>157</v>
      </c>
      <c r="I16" s="52"/>
      <c r="J16" s="28" t="s">
        <v>163</v>
      </c>
      <c r="K16" s="28" t="s">
        <v>163</v>
      </c>
      <c r="L16" s="280"/>
      <c r="M16" s="282"/>
    </row>
    <row r="17" spans="1:17" ht="18" customHeight="1">
      <c r="A17" s="278"/>
      <c r="B17" s="3" t="s">
        <v>43</v>
      </c>
      <c r="C17" s="7" t="s">
        <v>38</v>
      </c>
      <c r="D17" s="8" t="s">
        <v>44</v>
      </c>
      <c r="E17" s="6" t="s">
        <v>39</v>
      </c>
      <c r="F17" s="12" t="s">
        <v>72</v>
      </c>
      <c r="G17" s="27">
        <v>0.5</v>
      </c>
      <c r="H17" s="48" t="s">
        <v>158</v>
      </c>
      <c r="I17" s="52"/>
      <c r="J17" s="28" t="s">
        <v>163</v>
      </c>
      <c r="K17" s="28" t="s">
        <v>163</v>
      </c>
      <c r="L17" s="280"/>
      <c r="M17" s="282"/>
    </row>
    <row r="18" spans="1:17" ht="18" customHeight="1">
      <c r="A18" s="278"/>
      <c r="B18" s="3" t="s">
        <v>45</v>
      </c>
      <c r="C18" s="7" t="s">
        <v>42</v>
      </c>
      <c r="D18" s="8" t="s">
        <v>46</v>
      </c>
      <c r="E18" s="6" t="s">
        <v>39</v>
      </c>
      <c r="F18" s="12" t="s">
        <v>72</v>
      </c>
      <c r="G18" s="27">
        <v>0.5</v>
      </c>
      <c r="H18" s="48" t="s">
        <v>159</v>
      </c>
      <c r="I18" s="52"/>
      <c r="J18" s="28" t="s">
        <v>163</v>
      </c>
      <c r="K18" s="28" t="s">
        <v>163</v>
      </c>
      <c r="L18" s="280"/>
      <c r="M18" s="282"/>
    </row>
    <row r="19" spans="1:17" ht="18" customHeight="1">
      <c r="A19" s="278"/>
      <c r="B19" s="7" t="s">
        <v>42</v>
      </c>
      <c r="C19" s="3" t="s">
        <v>34</v>
      </c>
      <c r="D19" s="8" t="s">
        <v>39</v>
      </c>
      <c r="E19" s="6" t="s">
        <v>79</v>
      </c>
      <c r="F19" s="8" t="s">
        <v>78</v>
      </c>
      <c r="G19" s="27">
        <v>6</v>
      </c>
      <c r="H19" s="48" t="s">
        <v>154</v>
      </c>
      <c r="I19" s="52"/>
      <c r="J19" s="28" t="s">
        <v>163</v>
      </c>
      <c r="K19" s="28" t="s">
        <v>163</v>
      </c>
      <c r="L19" s="281"/>
      <c r="M19" s="282"/>
    </row>
    <row r="20" spans="1:17" ht="18" customHeight="1">
      <c r="H20" s="53"/>
      <c r="I20" s="53"/>
    </row>
    <row r="21" spans="1:17" ht="30" customHeight="1">
      <c r="A21" s="278" t="s">
        <v>80</v>
      </c>
      <c r="B21" s="3" t="s">
        <v>47</v>
      </c>
      <c r="C21" s="3" t="s">
        <v>15</v>
      </c>
      <c r="D21" s="6" t="s">
        <v>56</v>
      </c>
      <c r="E21" s="6" t="s">
        <v>17</v>
      </c>
      <c r="F21" s="12" t="s">
        <v>72</v>
      </c>
      <c r="G21" s="27">
        <v>3</v>
      </c>
      <c r="H21" s="48" t="s">
        <v>155</v>
      </c>
      <c r="I21" s="52"/>
      <c r="J21" s="28" t="s">
        <v>163</v>
      </c>
      <c r="K21" s="28" t="s">
        <v>163</v>
      </c>
      <c r="L21" s="283" t="s">
        <v>177</v>
      </c>
    </row>
    <row r="22" spans="1:17" ht="30" customHeight="1">
      <c r="A22" s="278"/>
      <c r="B22" s="21" t="s">
        <v>107</v>
      </c>
      <c r="C22" s="3" t="s">
        <v>15</v>
      </c>
      <c r="D22" s="6" t="s">
        <v>81</v>
      </c>
      <c r="E22" s="6" t="s">
        <v>17</v>
      </c>
      <c r="F22" s="12" t="s">
        <v>72</v>
      </c>
      <c r="G22" s="27">
        <v>3</v>
      </c>
      <c r="H22" s="48" t="s">
        <v>156</v>
      </c>
      <c r="I22" s="52"/>
      <c r="J22" s="28" t="s">
        <v>163</v>
      </c>
      <c r="K22" s="28" t="s">
        <v>163</v>
      </c>
      <c r="L22" s="284"/>
    </row>
    <row r="23" spans="1:17" ht="28.5" customHeight="1">
      <c r="H23" s="42" t="s">
        <v>160</v>
      </c>
      <c r="I23" s="42" t="s">
        <v>181</v>
      </c>
      <c r="J23" s="62" t="s">
        <v>183</v>
      </c>
      <c r="K23" s="44" t="s">
        <v>182</v>
      </c>
      <c r="M23" s="37"/>
    </row>
    <row r="24" spans="1:17" ht="18" customHeight="1">
      <c r="A24" s="285" t="s">
        <v>106</v>
      </c>
      <c r="B24" s="3" t="s">
        <v>40</v>
      </c>
      <c r="C24" s="3" t="s">
        <v>109</v>
      </c>
      <c r="D24" s="8" t="s">
        <v>39</v>
      </c>
      <c r="E24" s="6" t="s">
        <v>105</v>
      </c>
      <c r="F24" s="6" t="s">
        <v>111</v>
      </c>
      <c r="G24" s="49">
        <v>9</v>
      </c>
      <c r="H24" s="299" t="s">
        <v>165</v>
      </c>
      <c r="I24" s="55"/>
      <c r="J24" s="302" t="s">
        <v>166</v>
      </c>
      <c r="K24" s="58"/>
      <c r="L24" s="309" t="s">
        <v>188</v>
      </c>
      <c r="M24" s="287" t="s">
        <v>150</v>
      </c>
    </row>
    <row r="25" spans="1:17" ht="18" customHeight="1">
      <c r="A25" s="286"/>
      <c r="B25" s="3" t="s">
        <v>101</v>
      </c>
      <c r="C25" s="3" t="s">
        <v>110</v>
      </c>
      <c r="D25" s="8" t="s">
        <v>56</v>
      </c>
      <c r="E25" s="6" t="s">
        <v>105</v>
      </c>
      <c r="F25" s="6" t="s">
        <v>111</v>
      </c>
      <c r="G25" s="49">
        <v>2</v>
      </c>
      <c r="H25" s="312"/>
      <c r="I25" s="56"/>
      <c r="J25" s="303"/>
      <c r="K25" s="59"/>
      <c r="L25" s="310"/>
      <c r="M25" s="287"/>
    </row>
    <row r="26" spans="1:17" ht="18" customHeight="1">
      <c r="A26" s="286"/>
      <c r="B26" s="3" t="s">
        <v>94</v>
      </c>
      <c r="C26" s="3" t="s">
        <v>108</v>
      </c>
      <c r="D26" s="8" t="s">
        <v>39</v>
      </c>
      <c r="E26" s="6" t="s">
        <v>105</v>
      </c>
      <c r="F26" s="6" t="s">
        <v>111</v>
      </c>
      <c r="G26" s="49">
        <v>1</v>
      </c>
      <c r="H26" s="300"/>
      <c r="I26" s="54"/>
      <c r="J26" s="304"/>
      <c r="K26" s="59"/>
      <c r="L26" s="310"/>
      <c r="M26" s="287"/>
    </row>
    <row r="27" spans="1:17" ht="18" customHeight="1">
      <c r="A27" s="286"/>
      <c r="B27" s="3" t="s">
        <v>185</v>
      </c>
      <c r="C27" s="3" t="s">
        <v>110</v>
      </c>
      <c r="D27" s="6" t="s">
        <v>29</v>
      </c>
      <c r="E27" s="6" t="s">
        <v>105</v>
      </c>
      <c r="F27" s="6" t="s">
        <v>111</v>
      </c>
      <c r="G27" s="49">
        <v>2</v>
      </c>
      <c r="H27" s="48" t="s">
        <v>167</v>
      </c>
      <c r="I27" s="52"/>
      <c r="J27" s="57" t="s">
        <v>163</v>
      </c>
      <c r="K27" s="57" t="s">
        <v>163</v>
      </c>
      <c r="L27" s="310"/>
      <c r="M27" s="287"/>
    </row>
    <row r="28" spans="1:17" ht="18" customHeight="1">
      <c r="A28" s="286"/>
      <c r="B28" s="3" t="s">
        <v>103</v>
      </c>
      <c r="C28" s="3" t="s">
        <v>110</v>
      </c>
      <c r="D28" s="6" t="s">
        <v>81</v>
      </c>
      <c r="E28" s="6" t="s">
        <v>105</v>
      </c>
      <c r="F28" s="6" t="s">
        <v>111</v>
      </c>
      <c r="G28" s="49">
        <v>1</v>
      </c>
      <c r="H28" s="48" t="s">
        <v>168</v>
      </c>
      <c r="I28" s="48"/>
      <c r="J28" s="48" t="s">
        <v>168</v>
      </c>
      <c r="K28" s="48"/>
      <c r="L28" s="310"/>
      <c r="M28" s="287"/>
    </row>
    <row r="29" spans="1:17" ht="18" customHeight="1">
      <c r="A29" s="286"/>
      <c r="B29" s="3" t="s">
        <v>82</v>
      </c>
      <c r="C29" s="3" t="s">
        <v>108</v>
      </c>
      <c r="D29" s="8" t="s">
        <v>17</v>
      </c>
      <c r="E29" s="6" t="s">
        <v>105</v>
      </c>
      <c r="F29" s="6" t="s">
        <v>139</v>
      </c>
      <c r="G29" s="49">
        <v>2</v>
      </c>
      <c r="H29" s="299" t="s">
        <v>164</v>
      </c>
      <c r="I29" s="55"/>
      <c r="J29" s="302" t="s">
        <v>158</v>
      </c>
      <c r="K29" s="59"/>
      <c r="L29" s="310"/>
      <c r="M29" s="287"/>
    </row>
    <row r="30" spans="1:17" ht="18" customHeight="1">
      <c r="A30" s="286"/>
      <c r="B30" s="3" t="s">
        <v>83</v>
      </c>
      <c r="C30" s="3" t="s">
        <v>108</v>
      </c>
      <c r="D30" s="8" t="s">
        <v>17</v>
      </c>
      <c r="E30" s="6" t="s">
        <v>105</v>
      </c>
      <c r="F30" s="6" t="s">
        <v>111</v>
      </c>
      <c r="G30" s="49">
        <v>1</v>
      </c>
      <c r="H30" s="312"/>
      <c r="I30" s="56"/>
      <c r="J30" s="303"/>
      <c r="K30" s="59"/>
      <c r="L30" s="310"/>
      <c r="M30" s="287"/>
    </row>
    <row r="31" spans="1:17" ht="18" customHeight="1">
      <c r="A31" s="286"/>
      <c r="B31" s="3" t="s">
        <v>84</v>
      </c>
      <c r="C31" s="3" t="s">
        <v>108</v>
      </c>
      <c r="D31" s="8" t="s">
        <v>17</v>
      </c>
      <c r="E31" s="6" t="s">
        <v>105</v>
      </c>
      <c r="F31" s="6" t="s">
        <v>111</v>
      </c>
      <c r="G31" s="49">
        <v>0.5</v>
      </c>
      <c r="H31" s="312"/>
      <c r="I31" s="56"/>
      <c r="J31" s="303"/>
      <c r="K31" s="59"/>
      <c r="L31" s="310"/>
      <c r="M31" s="287"/>
      <c r="Q31" s="47"/>
    </row>
    <row r="32" spans="1:17" ht="18" customHeight="1">
      <c r="A32" s="286"/>
      <c r="B32" s="3" t="s">
        <v>85</v>
      </c>
      <c r="C32" s="3" t="s">
        <v>108</v>
      </c>
      <c r="D32" s="8" t="s">
        <v>17</v>
      </c>
      <c r="E32" s="6" t="s">
        <v>105</v>
      </c>
      <c r="F32" s="6" t="s">
        <v>111</v>
      </c>
      <c r="G32" s="49">
        <v>2</v>
      </c>
      <c r="H32" s="312"/>
      <c r="I32" s="56"/>
      <c r="J32" s="303"/>
      <c r="K32" s="59"/>
      <c r="L32" s="310"/>
      <c r="M32" s="287"/>
      <c r="Q32" s="50"/>
    </row>
    <row r="33" spans="1:17" ht="18" customHeight="1">
      <c r="A33" s="286"/>
      <c r="B33" s="3" t="s">
        <v>86</v>
      </c>
      <c r="C33" s="3" t="s">
        <v>108</v>
      </c>
      <c r="D33" s="8" t="s">
        <v>17</v>
      </c>
      <c r="E33" s="6" t="s">
        <v>105</v>
      </c>
      <c r="F33" s="6" t="s">
        <v>111</v>
      </c>
      <c r="G33" s="49">
        <v>2</v>
      </c>
      <c r="H33" s="312"/>
      <c r="I33" s="56"/>
      <c r="J33" s="303"/>
      <c r="K33" s="59"/>
      <c r="L33" s="310"/>
      <c r="M33" s="287"/>
      <c r="Q33" s="47"/>
    </row>
    <row r="34" spans="1:17" ht="18" customHeight="1">
      <c r="A34" s="286"/>
      <c r="B34" s="3" t="s">
        <v>87</v>
      </c>
      <c r="C34" s="3" t="s">
        <v>108</v>
      </c>
      <c r="D34" s="8" t="s">
        <v>17</v>
      </c>
      <c r="E34" s="6" t="s">
        <v>105</v>
      </c>
      <c r="F34" s="6" t="s">
        <v>111</v>
      </c>
      <c r="G34" s="49">
        <v>0.5</v>
      </c>
      <c r="H34" s="312"/>
      <c r="I34" s="56"/>
      <c r="J34" s="303"/>
      <c r="K34" s="59"/>
      <c r="L34" s="310"/>
      <c r="M34" s="287"/>
      <c r="Q34" s="47"/>
    </row>
    <row r="35" spans="1:17" ht="18" customHeight="1">
      <c r="A35" s="286"/>
      <c r="B35" s="3" t="s">
        <v>97</v>
      </c>
      <c r="C35" s="3" t="s">
        <v>110</v>
      </c>
      <c r="D35" s="8" t="s">
        <v>17</v>
      </c>
      <c r="E35" s="6" t="s">
        <v>105</v>
      </c>
      <c r="F35" s="6" t="s">
        <v>111</v>
      </c>
      <c r="G35" s="49">
        <v>1</v>
      </c>
      <c r="H35" s="312"/>
      <c r="I35" s="56"/>
      <c r="J35" s="303"/>
      <c r="K35" s="59"/>
      <c r="L35" s="310"/>
      <c r="M35" s="287"/>
      <c r="Q35" s="47"/>
    </row>
    <row r="36" spans="1:17" ht="18" customHeight="1">
      <c r="A36" s="286"/>
      <c r="B36" s="26" t="s">
        <v>174</v>
      </c>
      <c r="C36" s="26" t="s">
        <v>110</v>
      </c>
      <c r="D36" s="45" t="s">
        <v>175</v>
      </c>
      <c r="E36" s="40" t="s">
        <v>105</v>
      </c>
      <c r="F36" s="40" t="s">
        <v>111</v>
      </c>
      <c r="G36" s="51">
        <v>1</v>
      </c>
      <c r="H36" s="312"/>
      <c r="I36" s="56"/>
      <c r="J36" s="303"/>
      <c r="K36" s="59"/>
      <c r="L36" s="310"/>
      <c r="M36" s="287"/>
      <c r="Q36" s="47"/>
    </row>
    <row r="37" spans="1:17" ht="18" customHeight="1">
      <c r="A37" s="286"/>
      <c r="B37" s="3" t="s">
        <v>184</v>
      </c>
      <c r="C37" s="3" t="s">
        <v>110</v>
      </c>
      <c r="D37" s="8" t="s">
        <v>17</v>
      </c>
      <c r="E37" s="6" t="s">
        <v>105</v>
      </c>
      <c r="F37" s="6" t="s">
        <v>139</v>
      </c>
      <c r="G37" s="49">
        <v>1</v>
      </c>
      <c r="H37" s="312"/>
      <c r="I37" s="56"/>
      <c r="J37" s="303"/>
      <c r="K37" s="59"/>
      <c r="L37" s="310"/>
      <c r="M37" s="287"/>
      <c r="Q37" s="50"/>
    </row>
    <row r="38" spans="1:17" ht="18" customHeight="1">
      <c r="A38" s="286"/>
      <c r="B38" s="3" t="s">
        <v>148</v>
      </c>
      <c r="C38" s="3" t="s">
        <v>108</v>
      </c>
      <c r="D38" s="8" t="s">
        <v>17</v>
      </c>
      <c r="E38" s="6" t="s">
        <v>105</v>
      </c>
      <c r="F38" s="6" t="s">
        <v>111</v>
      </c>
      <c r="G38" s="49">
        <v>1</v>
      </c>
      <c r="H38" s="312"/>
      <c r="I38" s="56"/>
      <c r="J38" s="303"/>
      <c r="K38" s="59"/>
      <c r="L38" s="310"/>
      <c r="M38" s="287"/>
      <c r="Q38" s="47"/>
    </row>
    <row r="39" spans="1:17" ht="18" customHeight="1">
      <c r="A39" s="286"/>
      <c r="B39" s="3" t="s">
        <v>99</v>
      </c>
      <c r="C39" s="3" t="s">
        <v>110</v>
      </c>
      <c r="D39" s="8" t="s">
        <v>17</v>
      </c>
      <c r="E39" s="6" t="s">
        <v>105</v>
      </c>
      <c r="F39" s="6" t="s">
        <v>111</v>
      </c>
      <c r="G39" s="49">
        <v>2</v>
      </c>
      <c r="H39" s="312"/>
      <c r="I39" s="56"/>
      <c r="J39" s="303"/>
      <c r="K39" s="59"/>
      <c r="L39" s="310"/>
      <c r="M39" s="287"/>
      <c r="Q39" s="50"/>
    </row>
    <row r="40" spans="1:17" ht="18" customHeight="1">
      <c r="A40" s="286"/>
      <c r="B40" s="3" t="s">
        <v>100</v>
      </c>
      <c r="C40" s="3" t="s">
        <v>110</v>
      </c>
      <c r="D40" s="8" t="s">
        <v>17</v>
      </c>
      <c r="E40" s="6" t="s">
        <v>105</v>
      </c>
      <c r="F40" s="6" t="s">
        <v>111</v>
      </c>
      <c r="G40" s="49">
        <v>2</v>
      </c>
      <c r="H40" s="312"/>
      <c r="I40" s="56"/>
      <c r="J40" s="303"/>
      <c r="K40" s="59"/>
      <c r="L40" s="310"/>
      <c r="M40" s="287"/>
      <c r="Q40" s="47"/>
    </row>
    <row r="41" spans="1:17" ht="18" customHeight="1">
      <c r="A41" s="286"/>
      <c r="B41" s="18" t="s">
        <v>186</v>
      </c>
      <c r="C41" s="18" t="s">
        <v>108</v>
      </c>
      <c r="D41" s="22" t="s">
        <v>17</v>
      </c>
      <c r="E41" s="22" t="s">
        <v>105</v>
      </c>
      <c r="F41" s="20" t="s">
        <v>111</v>
      </c>
      <c r="G41" s="49"/>
      <c r="H41" s="312"/>
      <c r="I41" s="56"/>
      <c r="J41" s="303"/>
      <c r="K41" s="59"/>
      <c r="L41" s="310"/>
      <c r="M41" s="307" t="s">
        <v>115</v>
      </c>
      <c r="N41" s="23">
        <v>7</v>
      </c>
      <c r="Q41" s="50"/>
    </row>
    <row r="42" spans="1:17" ht="18" customHeight="1">
      <c r="A42" s="286"/>
      <c r="B42" s="18" t="s">
        <v>88</v>
      </c>
      <c r="C42" s="18" t="s">
        <v>108</v>
      </c>
      <c r="D42" s="22" t="s">
        <v>17</v>
      </c>
      <c r="E42" s="22" t="s">
        <v>105</v>
      </c>
      <c r="F42" s="20" t="s">
        <v>111</v>
      </c>
      <c r="G42" s="49"/>
      <c r="H42" s="312"/>
      <c r="I42" s="56"/>
      <c r="J42" s="303"/>
      <c r="K42" s="59"/>
      <c r="L42" s="310"/>
      <c r="M42" s="307"/>
      <c r="N42" s="23">
        <v>15</v>
      </c>
      <c r="Q42" s="47"/>
    </row>
    <row r="43" spans="1:17" ht="18" customHeight="1">
      <c r="A43" s="286"/>
      <c r="B43" s="18" t="s">
        <v>89</v>
      </c>
      <c r="C43" s="18" t="s">
        <v>108</v>
      </c>
      <c r="D43" s="22" t="s">
        <v>17</v>
      </c>
      <c r="E43" s="22" t="s">
        <v>105</v>
      </c>
      <c r="F43" s="20" t="s">
        <v>111</v>
      </c>
      <c r="G43" s="49"/>
      <c r="H43" s="312"/>
      <c r="I43" s="56"/>
      <c r="J43" s="303"/>
      <c r="K43" s="59"/>
      <c r="L43" s="310"/>
      <c r="M43" s="307"/>
      <c r="N43" s="23">
        <v>14</v>
      </c>
      <c r="Q43" s="50"/>
    </row>
    <row r="44" spans="1:17" ht="18" customHeight="1">
      <c r="A44" s="286"/>
      <c r="B44" s="18" t="s">
        <v>90</v>
      </c>
      <c r="C44" s="18" t="s">
        <v>108</v>
      </c>
      <c r="D44" s="22" t="s">
        <v>17</v>
      </c>
      <c r="E44" s="22" t="s">
        <v>105</v>
      </c>
      <c r="F44" s="20" t="s">
        <v>111</v>
      </c>
      <c r="G44" s="49"/>
      <c r="H44" s="312"/>
      <c r="I44" s="56"/>
      <c r="J44" s="303"/>
      <c r="K44" s="59"/>
      <c r="L44" s="310"/>
      <c r="M44" s="307"/>
      <c r="N44" s="23">
        <v>1</v>
      </c>
      <c r="Q44" s="47"/>
    </row>
    <row r="45" spans="1:17" ht="18" customHeight="1">
      <c r="A45" s="286"/>
      <c r="B45" s="18" t="s">
        <v>91</v>
      </c>
      <c r="C45" s="18" t="s">
        <v>109</v>
      </c>
      <c r="D45" s="22" t="s">
        <v>17</v>
      </c>
      <c r="E45" s="22" t="s">
        <v>105</v>
      </c>
      <c r="F45" s="20" t="s">
        <v>111</v>
      </c>
      <c r="G45" s="49"/>
      <c r="H45" s="312"/>
      <c r="I45" s="56"/>
      <c r="J45" s="303"/>
      <c r="K45" s="59"/>
      <c r="L45" s="310"/>
      <c r="M45" s="307"/>
      <c r="N45" s="23">
        <v>8</v>
      </c>
      <c r="Q45" s="50"/>
    </row>
    <row r="46" spans="1:17" ht="18" customHeight="1">
      <c r="A46" s="286"/>
      <c r="B46" s="18" t="s">
        <v>92</v>
      </c>
      <c r="C46" s="18" t="s">
        <v>108</v>
      </c>
      <c r="D46" s="22" t="s">
        <v>17</v>
      </c>
      <c r="E46" s="22" t="s">
        <v>105</v>
      </c>
      <c r="F46" s="20" t="s">
        <v>111</v>
      </c>
      <c r="G46" s="49"/>
      <c r="H46" s="312"/>
      <c r="I46" s="56"/>
      <c r="J46" s="303"/>
      <c r="K46" s="59"/>
      <c r="L46" s="310"/>
      <c r="M46" s="307"/>
      <c r="N46" s="23">
        <v>2</v>
      </c>
      <c r="Q46" s="47"/>
    </row>
    <row r="47" spans="1:17" ht="18" customHeight="1">
      <c r="A47" s="286"/>
      <c r="B47" s="18" t="s">
        <v>146</v>
      </c>
      <c r="C47" s="18" t="s">
        <v>108</v>
      </c>
      <c r="D47" s="22" t="s">
        <v>17</v>
      </c>
      <c r="E47" s="22" t="s">
        <v>105</v>
      </c>
      <c r="F47" s="20" t="s">
        <v>111</v>
      </c>
      <c r="G47" s="49"/>
      <c r="H47" s="312"/>
      <c r="I47" s="56"/>
      <c r="J47" s="303"/>
      <c r="K47" s="59"/>
      <c r="L47" s="310"/>
      <c r="M47" s="307"/>
      <c r="N47" s="23">
        <v>2</v>
      </c>
      <c r="Q47" s="50"/>
    </row>
    <row r="48" spans="1:17" ht="18" customHeight="1">
      <c r="A48" s="286"/>
      <c r="B48" s="18" t="s">
        <v>93</v>
      </c>
      <c r="C48" s="18" t="s">
        <v>108</v>
      </c>
      <c r="D48" s="22" t="s">
        <v>17</v>
      </c>
      <c r="E48" s="22" t="s">
        <v>105</v>
      </c>
      <c r="F48" s="20" t="s">
        <v>111</v>
      </c>
      <c r="G48" s="49"/>
      <c r="H48" s="312"/>
      <c r="I48" s="56"/>
      <c r="J48" s="303"/>
      <c r="K48" s="59"/>
      <c r="L48" s="310"/>
      <c r="M48" s="307"/>
      <c r="N48" s="23">
        <v>4</v>
      </c>
      <c r="Q48" s="47"/>
    </row>
    <row r="49" spans="1:17" ht="18" customHeight="1">
      <c r="A49" s="286"/>
      <c r="B49" s="18" t="s">
        <v>104</v>
      </c>
      <c r="C49" s="18" t="s">
        <v>110</v>
      </c>
      <c r="D49" s="22" t="s">
        <v>17</v>
      </c>
      <c r="E49" s="22" t="s">
        <v>105</v>
      </c>
      <c r="F49" s="20" t="s">
        <v>111</v>
      </c>
      <c r="G49" s="49"/>
      <c r="H49" s="300"/>
      <c r="I49" s="54"/>
      <c r="J49" s="304"/>
      <c r="K49" s="59"/>
      <c r="L49" s="310"/>
      <c r="M49" s="307"/>
      <c r="N49" s="23">
        <v>2</v>
      </c>
      <c r="Q49" s="50"/>
    </row>
    <row r="50" spans="1:17" ht="18" customHeight="1">
      <c r="A50" s="286"/>
      <c r="B50" s="18" t="s">
        <v>95</v>
      </c>
      <c r="C50" s="18" t="s">
        <v>108</v>
      </c>
      <c r="D50" s="22" t="s">
        <v>39</v>
      </c>
      <c r="E50" s="22" t="s">
        <v>105</v>
      </c>
      <c r="F50" s="20" t="s">
        <v>111</v>
      </c>
      <c r="G50" s="49"/>
      <c r="H50" s="308" t="s">
        <v>165</v>
      </c>
      <c r="I50" s="55"/>
      <c r="J50" s="302" t="s">
        <v>166</v>
      </c>
      <c r="K50" s="59"/>
      <c r="L50" s="310"/>
      <c r="M50" s="307"/>
      <c r="N50" s="23">
        <v>1</v>
      </c>
      <c r="Q50" s="47"/>
    </row>
    <row r="51" spans="1:17" ht="18" customHeight="1">
      <c r="A51" s="286"/>
      <c r="B51" s="18" t="s">
        <v>147</v>
      </c>
      <c r="C51" s="18" t="s">
        <v>108</v>
      </c>
      <c r="D51" s="22" t="s">
        <v>39</v>
      </c>
      <c r="E51" s="22" t="s">
        <v>105</v>
      </c>
      <c r="F51" s="20" t="s">
        <v>111</v>
      </c>
      <c r="G51" s="49"/>
      <c r="H51" s="308"/>
      <c r="I51" s="56"/>
      <c r="J51" s="303"/>
      <c r="K51" s="59"/>
      <c r="L51" s="310"/>
      <c r="M51" s="307"/>
      <c r="N51" s="23">
        <v>1</v>
      </c>
      <c r="Q51" s="47"/>
    </row>
    <row r="52" spans="1:17" ht="18" customHeight="1">
      <c r="A52" s="286"/>
      <c r="B52" s="18" t="s">
        <v>96</v>
      </c>
      <c r="C52" s="18" t="s">
        <v>108</v>
      </c>
      <c r="D52" s="22" t="s">
        <v>39</v>
      </c>
      <c r="E52" s="22" t="s">
        <v>105</v>
      </c>
      <c r="F52" s="20" t="s">
        <v>111</v>
      </c>
      <c r="G52" s="49"/>
      <c r="H52" s="308"/>
      <c r="I52" s="54"/>
      <c r="J52" s="304"/>
      <c r="K52" s="60"/>
      <c r="L52" s="311"/>
      <c r="M52" s="307"/>
      <c r="N52" s="23">
        <v>3</v>
      </c>
    </row>
  </sheetData>
  <protectedRanges>
    <protectedRange sqref="L15:L16" name="区域1_1_2_2_1"/>
  </protectedRanges>
  <mergeCells count="29">
    <mergeCell ref="M41:M52"/>
    <mergeCell ref="L7:L9"/>
    <mergeCell ref="M24:M40"/>
    <mergeCell ref="M11:M13"/>
    <mergeCell ref="A15:A19"/>
    <mergeCell ref="L15:L19"/>
    <mergeCell ref="M15:M19"/>
    <mergeCell ref="M7:M9"/>
    <mergeCell ref="A7:A9"/>
    <mergeCell ref="A21:A22"/>
    <mergeCell ref="L21:L22"/>
    <mergeCell ref="A24:A52"/>
    <mergeCell ref="H50:H52"/>
    <mergeCell ref="L24:L52"/>
    <mergeCell ref="H24:H26"/>
    <mergeCell ref="H29:H49"/>
    <mergeCell ref="M2:M3"/>
    <mergeCell ref="A5:A6"/>
    <mergeCell ref="L5:L6"/>
    <mergeCell ref="J5:J6"/>
    <mergeCell ref="H5:H6"/>
    <mergeCell ref="A2:A3"/>
    <mergeCell ref="L2:L3"/>
    <mergeCell ref="K5:K6"/>
    <mergeCell ref="A11:A13"/>
    <mergeCell ref="L11:L13"/>
    <mergeCell ref="J24:J26"/>
    <mergeCell ref="J29:J49"/>
    <mergeCell ref="J50:J52"/>
  </mergeCells>
  <phoneticPr fontId="7"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052B0-8A8F-1548-9296-497FD0A9AFF3}">
  <dimension ref="A1:Z100"/>
  <sheetViews>
    <sheetView zoomScaleNormal="100" workbookViewId="0">
      <selection activeCell="E6" sqref="E6"/>
    </sheetView>
  </sheetViews>
  <sheetFormatPr baseColWidth="10" defaultColWidth="9" defaultRowHeight="15"/>
  <cols>
    <col min="1" max="1" width="12.33203125" style="32" bestFit="1" customWidth="1"/>
    <col min="2" max="2" width="33.1640625" style="39" customWidth="1"/>
    <col min="3" max="3" width="13.6640625" style="38" customWidth="1"/>
    <col min="4" max="4" width="12.6640625" style="37" customWidth="1"/>
    <col min="5" max="5" width="11" style="37" customWidth="1"/>
    <col min="6" max="6" width="9.1640625" style="37" bestFit="1" customWidth="1"/>
    <col min="7" max="12" width="9.1640625" style="37" customWidth="1"/>
    <col min="13" max="13" width="13.33203125" style="37" customWidth="1"/>
    <col min="14" max="14" width="12" style="37" customWidth="1"/>
    <col min="15" max="15" width="13.5" style="37" customWidth="1"/>
    <col min="16" max="16" width="13.5" style="33" customWidth="1"/>
    <col min="17" max="17" width="13.5" style="37" customWidth="1"/>
    <col min="18" max="18" width="60.5" style="34" customWidth="1"/>
    <col min="19" max="19" width="11.1640625" style="33" customWidth="1"/>
    <col min="20" max="16384" width="9" style="32"/>
  </cols>
  <sheetData>
    <row r="1" spans="1:26">
      <c r="A1"/>
      <c r="B1"/>
      <c r="C1"/>
      <c r="D1"/>
      <c r="E1"/>
      <c r="F1"/>
      <c r="G1"/>
      <c r="H1"/>
      <c r="I1"/>
      <c r="J1"/>
      <c r="K1"/>
      <c r="L1"/>
      <c r="M1"/>
      <c r="N1"/>
      <c r="O1"/>
      <c r="P1"/>
      <c r="Q1"/>
      <c r="R1"/>
      <c r="S1"/>
      <c r="T1"/>
      <c r="U1"/>
      <c r="V1"/>
      <c r="W1"/>
      <c r="X1"/>
      <c r="Y1"/>
      <c r="Z1"/>
    </row>
    <row r="2" spans="1:26" ht="37.5" customHeight="1">
      <c r="A2"/>
      <c r="B2"/>
      <c r="C2"/>
      <c r="D2"/>
      <c r="E2"/>
      <c r="F2"/>
      <c r="G2"/>
      <c r="H2"/>
      <c r="I2"/>
      <c r="J2"/>
      <c r="K2"/>
      <c r="L2"/>
      <c r="M2"/>
      <c r="N2"/>
      <c r="O2"/>
      <c r="P2"/>
      <c r="Q2"/>
      <c r="R2"/>
      <c r="S2"/>
      <c r="T2"/>
      <c r="U2"/>
      <c r="V2"/>
      <c r="W2"/>
      <c r="X2"/>
      <c r="Y2"/>
      <c r="Z2"/>
    </row>
    <row r="3" spans="1:26">
      <c r="A3"/>
      <c r="B3"/>
      <c r="C3"/>
      <c r="D3"/>
      <c r="E3"/>
      <c r="F3"/>
      <c r="G3"/>
      <c r="H3"/>
      <c r="I3"/>
      <c r="J3"/>
      <c r="K3"/>
      <c r="L3"/>
      <c r="M3"/>
      <c r="N3"/>
      <c r="O3"/>
      <c r="P3"/>
      <c r="Q3"/>
      <c r="R3"/>
      <c r="S3"/>
      <c r="T3"/>
      <c r="U3"/>
      <c r="V3"/>
      <c r="W3"/>
      <c r="X3"/>
      <c r="Y3"/>
      <c r="Z3"/>
    </row>
    <row r="4" spans="1:26">
      <c r="A4"/>
      <c r="B4"/>
      <c r="C4"/>
      <c r="D4"/>
      <c r="E4"/>
      <c r="F4"/>
      <c r="G4"/>
      <c r="H4"/>
      <c r="I4"/>
      <c r="J4"/>
      <c r="K4"/>
      <c r="L4"/>
      <c r="M4"/>
      <c r="N4"/>
      <c r="O4"/>
      <c r="P4"/>
      <c r="Q4"/>
      <c r="R4"/>
      <c r="S4"/>
      <c r="T4"/>
      <c r="U4"/>
      <c r="V4"/>
      <c r="W4"/>
      <c r="X4"/>
      <c r="Y4"/>
      <c r="Z4"/>
    </row>
    <row r="5" spans="1:26">
      <c r="A5"/>
      <c r="B5"/>
      <c r="C5"/>
      <c r="D5"/>
      <c r="E5"/>
      <c r="F5"/>
      <c r="G5"/>
      <c r="H5"/>
      <c r="I5"/>
      <c r="J5"/>
      <c r="K5"/>
      <c r="L5"/>
      <c r="M5"/>
      <c r="N5"/>
      <c r="O5"/>
      <c r="P5"/>
      <c r="Q5"/>
      <c r="R5"/>
      <c r="S5"/>
      <c r="T5"/>
      <c r="U5"/>
      <c r="V5"/>
      <c r="W5"/>
      <c r="X5"/>
      <c r="Y5"/>
      <c r="Z5"/>
    </row>
    <row r="6" spans="1:26">
      <c r="A6"/>
      <c r="B6"/>
      <c r="C6"/>
      <c r="D6"/>
      <c r="E6"/>
      <c r="F6"/>
      <c r="G6"/>
      <c r="H6"/>
      <c r="I6"/>
      <c r="J6"/>
      <c r="K6"/>
      <c r="L6"/>
      <c r="M6"/>
      <c r="N6"/>
      <c r="O6"/>
      <c r="P6"/>
      <c r="Q6"/>
      <c r="R6"/>
      <c r="S6"/>
      <c r="T6"/>
      <c r="U6"/>
      <c r="V6"/>
      <c r="W6"/>
      <c r="X6"/>
      <c r="Y6"/>
      <c r="Z6"/>
    </row>
    <row r="7" spans="1:26">
      <c r="A7"/>
      <c r="B7"/>
      <c r="C7"/>
      <c r="D7"/>
      <c r="E7"/>
      <c r="F7"/>
      <c r="G7"/>
      <c r="H7"/>
      <c r="I7"/>
      <c r="J7"/>
      <c r="K7"/>
      <c r="L7"/>
      <c r="M7"/>
      <c r="N7"/>
      <c r="O7"/>
      <c r="P7"/>
      <c r="Q7"/>
      <c r="R7"/>
      <c r="S7"/>
      <c r="T7"/>
      <c r="U7"/>
      <c r="V7"/>
      <c r="W7"/>
      <c r="X7"/>
      <c r="Y7"/>
      <c r="Z7"/>
    </row>
    <row r="8" spans="1:26">
      <c r="A8"/>
      <c r="B8"/>
      <c r="C8"/>
      <c r="D8"/>
      <c r="E8"/>
      <c r="F8"/>
      <c r="G8"/>
      <c r="H8"/>
      <c r="I8"/>
      <c r="J8"/>
      <c r="K8"/>
      <c r="L8"/>
      <c r="M8"/>
      <c r="N8"/>
      <c r="O8"/>
      <c r="P8"/>
      <c r="Q8"/>
      <c r="R8"/>
      <c r="S8"/>
      <c r="T8"/>
      <c r="U8"/>
      <c r="V8"/>
      <c r="W8"/>
      <c r="X8"/>
      <c r="Y8"/>
      <c r="Z8"/>
    </row>
    <row r="9" spans="1:26">
      <c r="A9"/>
      <c r="B9"/>
      <c r="C9"/>
      <c r="D9"/>
      <c r="E9"/>
      <c r="F9"/>
      <c r="G9"/>
      <c r="H9"/>
      <c r="I9"/>
      <c r="J9"/>
      <c r="K9"/>
      <c r="L9"/>
      <c r="M9"/>
      <c r="N9"/>
      <c r="O9"/>
      <c r="P9"/>
      <c r="Q9"/>
      <c r="R9"/>
      <c r="S9"/>
      <c r="T9"/>
      <c r="U9"/>
      <c r="V9"/>
      <c r="W9"/>
      <c r="X9"/>
      <c r="Y9"/>
      <c r="Z9"/>
    </row>
    <row r="10" spans="1:26">
      <c r="A10"/>
      <c r="B10"/>
      <c r="C10"/>
      <c r="D10"/>
      <c r="E10"/>
      <c r="F10"/>
      <c r="G10"/>
      <c r="H10"/>
      <c r="I10"/>
      <c r="J10"/>
      <c r="K10"/>
      <c r="L10"/>
      <c r="M10"/>
      <c r="N10"/>
      <c r="O10"/>
      <c r="P10"/>
      <c r="Q10"/>
      <c r="R10"/>
      <c r="S10"/>
      <c r="T10"/>
      <c r="U10"/>
      <c r="V10"/>
      <c r="W10"/>
      <c r="X10"/>
      <c r="Y10"/>
      <c r="Z10"/>
    </row>
    <row r="11" spans="1:26">
      <c r="A11"/>
      <c r="B11"/>
      <c r="C11"/>
      <c r="D11"/>
      <c r="E11"/>
      <c r="F11"/>
      <c r="G11"/>
      <c r="H11"/>
      <c r="I11"/>
      <c r="J11"/>
      <c r="K11"/>
      <c r="L11"/>
      <c r="M11"/>
      <c r="N11"/>
      <c r="O11"/>
      <c r="P11"/>
      <c r="Q11"/>
      <c r="R11"/>
      <c r="S11"/>
      <c r="T11"/>
      <c r="U11"/>
      <c r="V11"/>
      <c r="W11"/>
      <c r="X11"/>
      <c r="Y11"/>
      <c r="Z11"/>
    </row>
    <row r="12" spans="1:26">
      <c r="A12"/>
      <c r="B12"/>
      <c r="C12"/>
      <c r="D12"/>
      <c r="E12"/>
      <c r="F12"/>
      <c r="G12"/>
      <c r="H12"/>
      <c r="I12"/>
      <c r="J12"/>
      <c r="K12"/>
      <c r="L12"/>
      <c r="M12"/>
      <c r="N12"/>
      <c r="O12"/>
      <c r="P12"/>
      <c r="Q12"/>
      <c r="R12"/>
      <c r="S12"/>
      <c r="T12"/>
      <c r="U12"/>
      <c r="V12"/>
      <c r="W12"/>
      <c r="X12"/>
      <c r="Y12"/>
      <c r="Z12"/>
    </row>
    <row r="13" spans="1:26">
      <c r="A13"/>
      <c r="B13"/>
      <c r="C13"/>
      <c r="D13"/>
      <c r="E13"/>
      <c r="F13"/>
      <c r="G13"/>
      <c r="H13"/>
      <c r="I13"/>
      <c r="J13"/>
      <c r="K13"/>
      <c r="L13"/>
      <c r="M13"/>
      <c r="N13"/>
      <c r="O13"/>
      <c r="P13"/>
      <c r="Q13"/>
      <c r="R13"/>
      <c r="S13"/>
      <c r="T13"/>
      <c r="U13"/>
      <c r="V13"/>
      <c r="W13"/>
      <c r="X13"/>
      <c r="Y13"/>
      <c r="Z13"/>
    </row>
    <row r="14" spans="1:26">
      <c r="A14"/>
      <c r="B14"/>
      <c r="C14"/>
      <c r="D14"/>
      <c r="E14"/>
      <c r="F14"/>
      <c r="G14"/>
      <c r="H14"/>
      <c r="I14"/>
      <c r="J14"/>
      <c r="K14"/>
      <c r="L14"/>
      <c r="M14"/>
      <c r="N14"/>
      <c r="O14"/>
      <c r="P14"/>
      <c r="Q14"/>
      <c r="R14"/>
      <c r="S14"/>
      <c r="T14"/>
      <c r="U14"/>
      <c r="V14"/>
      <c r="W14"/>
      <c r="X14"/>
      <c r="Y14"/>
      <c r="Z14"/>
    </row>
    <row r="15" spans="1:26">
      <c r="A15"/>
      <c r="B15"/>
      <c r="C15"/>
      <c r="D15"/>
      <c r="E15"/>
      <c r="F15"/>
      <c r="G15"/>
      <c r="H15"/>
      <c r="I15"/>
      <c r="J15"/>
      <c r="K15"/>
      <c r="L15"/>
      <c r="M15"/>
      <c r="N15"/>
      <c r="O15"/>
      <c r="P15"/>
      <c r="Q15"/>
      <c r="R15"/>
      <c r="S15"/>
      <c r="T15"/>
      <c r="U15"/>
      <c r="V15"/>
      <c r="W15"/>
      <c r="X15"/>
      <c r="Y15"/>
      <c r="Z15"/>
    </row>
    <row r="16" spans="1:26">
      <c r="A16"/>
      <c r="B16"/>
      <c r="C16"/>
      <c r="D16"/>
      <c r="E16"/>
      <c r="F16"/>
      <c r="G16"/>
      <c r="H16"/>
      <c r="I16"/>
      <c r="J16"/>
      <c r="K16"/>
      <c r="L16"/>
      <c r="M16"/>
      <c r="N16"/>
      <c r="O16"/>
      <c r="P16"/>
      <c r="Q16"/>
      <c r="R16"/>
      <c r="S16"/>
      <c r="T16"/>
      <c r="U16"/>
      <c r="V16"/>
      <c r="W16"/>
      <c r="X16"/>
      <c r="Y16"/>
      <c r="Z16"/>
    </row>
    <row r="17" spans="1:26">
      <c r="A17"/>
      <c r="B17"/>
      <c r="C17"/>
      <c r="D17"/>
      <c r="E17"/>
      <c r="F17"/>
      <c r="G17"/>
      <c r="H17"/>
      <c r="I17"/>
      <c r="J17"/>
      <c r="K17"/>
      <c r="L17"/>
      <c r="M17"/>
      <c r="N17"/>
      <c r="O17"/>
      <c r="P17"/>
      <c r="Q17"/>
      <c r="R17"/>
      <c r="S17"/>
      <c r="T17"/>
      <c r="U17"/>
      <c r="V17"/>
      <c r="W17"/>
      <c r="X17"/>
      <c r="Y17"/>
      <c r="Z17"/>
    </row>
    <row r="18" spans="1:26">
      <c r="A18"/>
      <c r="B18"/>
      <c r="C18"/>
      <c r="D18"/>
      <c r="E18"/>
      <c r="F18"/>
      <c r="G18"/>
      <c r="H18"/>
      <c r="I18"/>
      <c r="J18"/>
      <c r="K18"/>
      <c r="L18"/>
      <c r="M18"/>
      <c r="N18"/>
      <c r="O18"/>
      <c r="P18"/>
      <c r="Q18"/>
      <c r="R18"/>
      <c r="S18"/>
      <c r="T18"/>
      <c r="U18"/>
      <c r="V18"/>
      <c r="W18"/>
      <c r="X18"/>
      <c r="Y18"/>
      <c r="Z18"/>
    </row>
    <row r="19" spans="1:26">
      <c r="A19"/>
      <c r="B19"/>
      <c r="C19"/>
      <c r="D19"/>
      <c r="E19"/>
      <c r="F19"/>
      <c r="G19"/>
      <c r="H19"/>
      <c r="I19"/>
      <c r="J19"/>
      <c r="K19"/>
      <c r="L19"/>
      <c r="M19"/>
      <c r="N19"/>
      <c r="O19"/>
      <c r="P19"/>
      <c r="Q19"/>
      <c r="R19"/>
      <c r="S19"/>
      <c r="T19"/>
      <c r="U19"/>
      <c r="V19"/>
      <c r="W19"/>
      <c r="X19"/>
      <c r="Y19"/>
      <c r="Z19"/>
    </row>
    <row r="20" spans="1:26">
      <c r="A20"/>
      <c r="B20"/>
      <c r="C20"/>
      <c r="D20"/>
      <c r="E20"/>
      <c r="F20"/>
      <c r="G20"/>
      <c r="H20"/>
      <c r="I20"/>
      <c r="J20"/>
      <c r="K20"/>
      <c r="L20"/>
      <c r="M20"/>
      <c r="N20"/>
      <c r="O20"/>
      <c r="P20"/>
      <c r="Q20"/>
      <c r="R20"/>
      <c r="S20"/>
      <c r="T20"/>
      <c r="U20"/>
      <c r="V20"/>
      <c r="W20"/>
      <c r="X20"/>
      <c r="Y20"/>
      <c r="Z20"/>
    </row>
    <row r="21" spans="1:26">
      <c r="A21"/>
      <c r="B21"/>
      <c r="C21"/>
      <c r="D21"/>
      <c r="E21"/>
      <c r="F21"/>
      <c r="G21"/>
      <c r="H21"/>
      <c r="I21"/>
      <c r="J21"/>
      <c r="K21"/>
      <c r="L21"/>
      <c r="M21"/>
      <c r="N21"/>
      <c r="O21"/>
      <c r="P21"/>
      <c r="Q21"/>
      <c r="R21"/>
      <c r="S21"/>
      <c r="T21"/>
      <c r="U21"/>
      <c r="V21"/>
      <c r="W21"/>
      <c r="X21"/>
      <c r="Y21"/>
      <c r="Z21"/>
    </row>
    <row r="22" spans="1:26">
      <c r="A22"/>
      <c r="B22"/>
      <c r="C22"/>
      <c r="D22"/>
      <c r="E22"/>
      <c r="F22"/>
      <c r="G22"/>
      <c r="H22"/>
      <c r="I22"/>
      <c r="J22"/>
      <c r="K22"/>
      <c r="L22"/>
      <c r="M22"/>
      <c r="N22"/>
      <c r="O22"/>
      <c r="P22"/>
      <c r="Q22"/>
      <c r="R22"/>
      <c r="S22"/>
      <c r="T22"/>
      <c r="U22"/>
      <c r="V22"/>
      <c r="W22"/>
      <c r="X22"/>
      <c r="Y22"/>
      <c r="Z22"/>
    </row>
    <row r="23" spans="1:26">
      <c r="A23"/>
      <c r="B23"/>
      <c r="C23"/>
      <c r="D23"/>
      <c r="E23"/>
      <c r="F23"/>
      <c r="G23"/>
      <c r="H23"/>
      <c r="I23"/>
      <c r="J23"/>
      <c r="K23"/>
      <c r="L23"/>
      <c r="M23"/>
      <c r="N23"/>
      <c r="O23"/>
      <c r="P23"/>
      <c r="Q23"/>
      <c r="R23"/>
      <c r="S23"/>
      <c r="T23"/>
      <c r="U23"/>
      <c r="V23"/>
      <c r="W23"/>
      <c r="X23"/>
      <c r="Y23"/>
      <c r="Z23"/>
    </row>
    <row r="24" spans="1:26">
      <c r="A24"/>
      <c r="B24"/>
      <c r="C24"/>
      <c r="D24"/>
      <c r="E24"/>
      <c r="F24"/>
      <c r="G24"/>
      <c r="H24"/>
      <c r="I24"/>
      <c r="J24"/>
      <c r="K24"/>
      <c r="L24"/>
      <c r="M24"/>
      <c r="N24"/>
      <c r="O24"/>
      <c r="P24"/>
      <c r="Q24"/>
      <c r="R24"/>
      <c r="S24"/>
      <c r="T24"/>
      <c r="U24"/>
      <c r="V24"/>
      <c r="W24"/>
      <c r="X24"/>
      <c r="Y24"/>
      <c r="Z24"/>
    </row>
    <row r="25" spans="1:26">
      <c r="A25"/>
      <c r="B25"/>
      <c r="C25"/>
      <c r="D25"/>
      <c r="E25"/>
      <c r="F25"/>
      <c r="G25"/>
      <c r="H25"/>
      <c r="I25"/>
      <c r="J25"/>
      <c r="K25"/>
      <c r="L25"/>
      <c r="M25"/>
      <c r="N25"/>
      <c r="O25"/>
      <c r="P25"/>
      <c r="Q25"/>
      <c r="R25"/>
      <c r="S25"/>
      <c r="T25"/>
      <c r="U25"/>
      <c r="V25"/>
      <c r="W25"/>
      <c r="X25"/>
      <c r="Y25"/>
      <c r="Z25"/>
    </row>
    <row r="26" spans="1:26">
      <c r="A26"/>
      <c r="B26"/>
      <c r="C26"/>
      <c r="D26"/>
      <c r="E26"/>
      <c r="F26"/>
      <c r="G26"/>
      <c r="H26"/>
      <c r="I26"/>
      <c r="J26"/>
      <c r="K26"/>
      <c r="L26"/>
      <c r="M26"/>
      <c r="N26"/>
      <c r="O26"/>
      <c r="P26"/>
      <c r="Q26"/>
      <c r="R26"/>
      <c r="S26"/>
      <c r="T26"/>
      <c r="U26"/>
      <c r="V26"/>
      <c r="W26"/>
      <c r="X26"/>
      <c r="Y26"/>
      <c r="Z26"/>
    </row>
    <row r="27" spans="1:26">
      <c r="A27"/>
      <c r="B27"/>
      <c r="C27"/>
      <c r="D27"/>
      <c r="E27"/>
      <c r="F27"/>
      <c r="G27"/>
      <c r="H27"/>
      <c r="I27"/>
      <c r="J27"/>
      <c r="K27"/>
      <c r="L27"/>
      <c r="M27"/>
      <c r="N27"/>
      <c r="O27"/>
      <c r="P27"/>
      <c r="Q27"/>
      <c r="R27"/>
      <c r="S27"/>
      <c r="T27"/>
      <c r="U27"/>
      <c r="V27"/>
      <c r="W27"/>
      <c r="X27"/>
      <c r="Y27"/>
      <c r="Z27"/>
    </row>
    <row r="28" spans="1:26">
      <c r="A28"/>
      <c r="B28"/>
      <c r="C28"/>
      <c r="D28"/>
      <c r="E28"/>
      <c r="F28"/>
      <c r="G28"/>
      <c r="H28"/>
      <c r="I28"/>
      <c r="J28"/>
      <c r="K28"/>
      <c r="L28"/>
      <c r="M28"/>
      <c r="N28"/>
      <c r="O28"/>
      <c r="P28"/>
      <c r="Q28"/>
      <c r="R28"/>
      <c r="S28"/>
      <c r="T28"/>
      <c r="U28"/>
      <c r="V28"/>
      <c r="W28"/>
      <c r="X28"/>
      <c r="Y28"/>
      <c r="Z28"/>
    </row>
    <row r="29" spans="1:26">
      <c r="A29"/>
      <c r="B29"/>
      <c r="C29"/>
      <c r="D29"/>
      <c r="E29"/>
      <c r="F29"/>
      <c r="G29"/>
      <c r="H29"/>
      <c r="I29"/>
      <c r="J29"/>
      <c r="K29"/>
      <c r="L29"/>
      <c r="M29"/>
      <c r="N29"/>
      <c r="O29"/>
      <c r="P29"/>
      <c r="Q29"/>
      <c r="R29"/>
      <c r="S29"/>
      <c r="T29"/>
      <c r="U29"/>
      <c r="V29"/>
      <c r="W29"/>
      <c r="X29"/>
      <c r="Y29"/>
      <c r="Z29"/>
    </row>
    <row r="30" spans="1:26">
      <c r="A30"/>
      <c r="B30"/>
      <c r="C30"/>
      <c r="D30"/>
      <c r="E30"/>
      <c r="F30"/>
      <c r="G30"/>
      <c r="H30"/>
      <c r="I30"/>
      <c r="J30"/>
      <c r="K30"/>
      <c r="L30"/>
      <c r="M30"/>
      <c r="N30"/>
      <c r="O30"/>
      <c r="P30"/>
      <c r="Q30"/>
      <c r="R30"/>
      <c r="S30"/>
      <c r="T30"/>
      <c r="U30"/>
      <c r="V30"/>
      <c r="W30"/>
      <c r="X30"/>
      <c r="Y30"/>
      <c r="Z30"/>
    </row>
    <row r="31" spans="1:26">
      <c r="A31"/>
      <c r="B31"/>
      <c r="C31"/>
      <c r="D31"/>
      <c r="E31"/>
      <c r="F31"/>
      <c r="G31"/>
      <c r="H31"/>
      <c r="I31"/>
      <c r="J31"/>
      <c r="K31"/>
      <c r="L31"/>
      <c r="M31"/>
      <c r="N31"/>
      <c r="O31"/>
      <c r="P31"/>
      <c r="Q31"/>
      <c r="R31"/>
      <c r="S31"/>
      <c r="T31"/>
      <c r="U31"/>
      <c r="V31"/>
      <c r="W31"/>
      <c r="X31"/>
      <c r="Y31"/>
      <c r="Z31"/>
    </row>
    <row r="32" spans="1:26">
      <c r="A32"/>
      <c r="B32"/>
      <c r="C32"/>
      <c r="D32"/>
      <c r="E32"/>
      <c r="F32"/>
      <c r="G32"/>
      <c r="H32"/>
      <c r="I32"/>
      <c r="J32"/>
      <c r="K32"/>
      <c r="L32"/>
      <c r="M32"/>
      <c r="N32"/>
      <c r="O32"/>
      <c r="P32"/>
      <c r="Q32"/>
      <c r="R32"/>
      <c r="S32"/>
      <c r="T32"/>
      <c r="U32"/>
      <c r="V32"/>
      <c r="W32"/>
      <c r="X32"/>
      <c r="Y32"/>
      <c r="Z32"/>
    </row>
    <row r="33" spans="1:26">
      <c r="A33"/>
      <c r="B33"/>
      <c r="C33"/>
      <c r="D33"/>
      <c r="E33"/>
      <c r="F33"/>
      <c r="G33"/>
      <c r="H33"/>
      <c r="I33"/>
      <c r="J33"/>
      <c r="K33"/>
      <c r="L33"/>
      <c r="M33"/>
      <c r="N33"/>
      <c r="O33"/>
      <c r="P33"/>
      <c r="Q33"/>
      <c r="R33"/>
      <c r="S33"/>
      <c r="T33"/>
      <c r="U33"/>
      <c r="V33"/>
      <c r="W33"/>
      <c r="X33"/>
      <c r="Y33"/>
      <c r="Z33"/>
    </row>
    <row r="34" spans="1:26">
      <c r="A34"/>
      <c r="B34"/>
      <c r="C34"/>
      <c r="D34"/>
      <c r="E34"/>
      <c r="F34"/>
      <c r="G34"/>
      <c r="H34"/>
      <c r="I34"/>
      <c r="J34"/>
      <c r="K34"/>
      <c r="L34"/>
      <c r="M34"/>
      <c r="N34"/>
      <c r="O34"/>
      <c r="P34"/>
      <c r="Q34"/>
      <c r="R34"/>
      <c r="S34"/>
      <c r="T34"/>
      <c r="U34"/>
      <c r="V34"/>
      <c r="W34"/>
      <c r="X34"/>
      <c r="Y34"/>
      <c r="Z34"/>
    </row>
    <row r="35" spans="1:26">
      <c r="A35"/>
      <c r="B35"/>
      <c r="C35"/>
      <c r="D35"/>
      <c r="E35"/>
      <c r="F35"/>
      <c r="G35"/>
      <c r="H35"/>
      <c r="I35"/>
      <c r="J35"/>
      <c r="K35"/>
      <c r="L35"/>
      <c r="M35"/>
      <c r="N35"/>
      <c r="O35"/>
      <c r="P35"/>
      <c r="Q35"/>
      <c r="R35"/>
      <c r="S35"/>
      <c r="T35"/>
      <c r="U35"/>
      <c r="V35"/>
      <c r="W35"/>
      <c r="X35"/>
      <c r="Y35"/>
      <c r="Z35"/>
    </row>
    <row r="36" spans="1:26">
      <c r="A36"/>
      <c r="B36"/>
      <c r="C36"/>
      <c r="D36"/>
      <c r="E36"/>
      <c r="F36"/>
      <c r="G36"/>
      <c r="H36"/>
      <c r="I36"/>
      <c r="J36"/>
      <c r="K36"/>
      <c r="L36"/>
      <c r="M36"/>
      <c r="N36"/>
      <c r="O36"/>
      <c r="P36"/>
      <c r="Q36"/>
      <c r="R36"/>
      <c r="S36"/>
      <c r="T36"/>
      <c r="U36"/>
      <c r="V36"/>
      <c r="W36"/>
      <c r="X36"/>
      <c r="Y36"/>
      <c r="Z36"/>
    </row>
    <row r="37" spans="1:26">
      <c r="A37"/>
      <c r="B37"/>
      <c r="C37"/>
      <c r="D37"/>
      <c r="E37"/>
      <c r="F37"/>
      <c r="G37"/>
      <c r="H37"/>
      <c r="I37"/>
      <c r="J37"/>
      <c r="K37"/>
      <c r="L37"/>
      <c r="M37"/>
      <c r="N37"/>
      <c r="O37"/>
      <c r="P37"/>
      <c r="Q37"/>
      <c r="R37"/>
      <c r="S37"/>
      <c r="T37"/>
      <c r="U37"/>
      <c r="V37"/>
      <c r="W37"/>
      <c r="X37"/>
      <c r="Y37"/>
      <c r="Z37"/>
    </row>
    <row r="38" spans="1:26">
      <c r="A38"/>
      <c r="B38"/>
      <c r="C38"/>
      <c r="D38"/>
      <c r="E38"/>
      <c r="F38"/>
      <c r="G38"/>
      <c r="H38"/>
      <c r="I38"/>
      <c r="J38"/>
      <c r="K38"/>
      <c r="L38"/>
      <c r="M38"/>
      <c r="N38"/>
      <c r="O38"/>
      <c r="P38"/>
      <c r="Q38"/>
      <c r="R38"/>
      <c r="S38"/>
      <c r="T38"/>
      <c r="U38"/>
      <c r="V38"/>
      <c r="W38"/>
      <c r="X38"/>
      <c r="Y38"/>
      <c r="Z38"/>
    </row>
    <row r="39" spans="1:26">
      <c r="A39"/>
      <c r="B39"/>
      <c r="C39"/>
      <c r="D39"/>
      <c r="E39"/>
      <c r="F39"/>
      <c r="G39"/>
      <c r="H39"/>
      <c r="I39"/>
      <c r="J39"/>
      <c r="K39"/>
      <c r="L39"/>
      <c r="M39"/>
      <c r="N39"/>
      <c r="O39"/>
      <c r="P39"/>
      <c r="Q39"/>
      <c r="R39"/>
      <c r="S39"/>
      <c r="T39"/>
      <c r="U39"/>
      <c r="V39"/>
      <c r="W39"/>
      <c r="X39"/>
      <c r="Y39"/>
      <c r="Z39"/>
    </row>
    <row r="40" spans="1:26">
      <c r="A40"/>
      <c r="B40"/>
      <c r="C40"/>
      <c r="D40"/>
      <c r="E40"/>
      <c r="F40"/>
      <c r="G40"/>
      <c r="H40"/>
      <c r="I40"/>
      <c r="J40"/>
      <c r="K40"/>
      <c r="L40"/>
      <c r="M40"/>
      <c r="N40"/>
      <c r="O40"/>
      <c r="P40"/>
      <c r="Q40"/>
      <c r="R40"/>
      <c r="S40"/>
      <c r="T40"/>
      <c r="U40"/>
      <c r="V40"/>
      <c r="W40"/>
      <c r="X40"/>
      <c r="Y40"/>
      <c r="Z40"/>
    </row>
    <row r="41" spans="1:26">
      <c r="A41"/>
      <c r="B41"/>
      <c r="C41"/>
      <c r="D41"/>
      <c r="E41"/>
      <c r="F41"/>
      <c r="G41"/>
      <c r="H41"/>
      <c r="I41"/>
      <c r="J41"/>
      <c r="K41"/>
      <c r="L41"/>
      <c r="M41"/>
      <c r="N41"/>
      <c r="O41"/>
      <c r="P41"/>
      <c r="Q41"/>
      <c r="R41"/>
      <c r="S41"/>
      <c r="T41"/>
      <c r="U41"/>
      <c r="V41"/>
      <c r="W41"/>
      <c r="X41"/>
      <c r="Y41"/>
      <c r="Z41"/>
    </row>
    <row r="42" spans="1:26">
      <c r="A42"/>
      <c r="B42"/>
      <c r="C42"/>
      <c r="D42"/>
      <c r="E42"/>
      <c r="F42"/>
      <c r="G42"/>
      <c r="H42"/>
      <c r="I42"/>
      <c r="J42"/>
      <c r="K42"/>
      <c r="L42"/>
      <c r="M42"/>
      <c r="N42"/>
      <c r="O42"/>
      <c r="P42"/>
      <c r="Q42"/>
      <c r="R42"/>
      <c r="S42"/>
      <c r="T42"/>
      <c r="U42"/>
      <c r="V42"/>
      <c r="W42"/>
      <c r="X42"/>
      <c r="Y42"/>
      <c r="Z42"/>
    </row>
    <row r="43" spans="1:26">
      <c r="A43"/>
      <c r="B43"/>
      <c r="C43"/>
      <c r="D43"/>
      <c r="E43"/>
      <c r="F43"/>
      <c r="G43"/>
      <c r="H43"/>
      <c r="I43"/>
      <c r="J43"/>
      <c r="K43"/>
      <c r="L43"/>
      <c r="M43"/>
      <c r="N43"/>
      <c r="O43"/>
      <c r="P43"/>
      <c r="Q43"/>
      <c r="R43"/>
      <c r="S43"/>
      <c r="T43"/>
      <c r="U43"/>
      <c r="V43"/>
      <c r="W43"/>
      <c r="X43"/>
      <c r="Y43"/>
      <c r="Z43"/>
    </row>
    <row r="44" spans="1:26">
      <c r="A44"/>
      <c r="B44"/>
      <c r="C44"/>
      <c r="D44"/>
      <c r="E44"/>
      <c r="F44"/>
      <c r="G44"/>
      <c r="H44"/>
      <c r="I44"/>
      <c r="J44"/>
      <c r="K44"/>
      <c r="L44"/>
      <c r="M44"/>
      <c r="N44"/>
      <c r="O44"/>
      <c r="P44"/>
      <c r="Q44"/>
      <c r="R44"/>
      <c r="S44"/>
      <c r="T44"/>
      <c r="U44"/>
      <c r="V44"/>
      <c r="W44"/>
      <c r="X44"/>
      <c r="Y44"/>
      <c r="Z44"/>
    </row>
    <row r="45" spans="1:26">
      <c r="A45"/>
      <c r="B45"/>
      <c r="C45"/>
      <c r="D45"/>
      <c r="E45"/>
      <c r="F45"/>
      <c r="G45"/>
      <c r="H45"/>
      <c r="I45"/>
      <c r="J45"/>
      <c r="K45"/>
      <c r="L45"/>
      <c r="M45"/>
      <c r="N45"/>
      <c r="O45"/>
      <c r="P45"/>
      <c r="Q45"/>
      <c r="R45"/>
      <c r="S45"/>
      <c r="T45"/>
      <c r="U45"/>
      <c r="V45"/>
      <c r="W45"/>
      <c r="X45"/>
      <c r="Y45"/>
      <c r="Z45"/>
    </row>
    <row r="46" spans="1:26">
      <c r="A46"/>
      <c r="B46"/>
      <c r="C46"/>
      <c r="D46"/>
      <c r="E46"/>
      <c r="F46"/>
      <c r="G46"/>
      <c r="H46"/>
      <c r="I46"/>
      <c r="J46"/>
      <c r="K46"/>
      <c r="L46"/>
      <c r="M46"/>
      <c r="N46"/>
      <c r="O46"/>
      <c r="P46"/>
      <c r="Q46"/>
      <c r="R46"/>
      <c r="S46"/>
      <c r="T46"/>
      <c r="U46"/>
      <c r="V46"/>
      <c r="W46"/>
      <c r="X46"/>
      <c r="Y46"/>
      <c r="Z46"/>
    </row>
    <row r="47" spans="1:26">
      <c r="A47"/>
      <c r="B47"/>
      <c r="C47"/>
      <c r="D47"/>
      <c r="E47"/>
      <c r="F47"/>
      <c r="G47"/>
      <c r="H47"/>
      <c r="I47"/>
      <c r="J47"/>
      <c r="K47"/>
      <c r="L47"/>
      <c r="M47"/>
      <c r="N47"/>
      <c r="O47"/>
      <c r="P47"/>
      <c r="Q47"/>
      <c r="R47"/>
      <c r="S47"/>
      <c r="T47"/>
      <c r="U47"/>
      <c r="V47"/>
      <c r="W47"/>
      <c r="X47"/>
      <c r="Y47"/>
      <c r="Z47"/>
    </row>
    <row r="48" spans="1:26">
      <c r="A48"/>
      <c r="B48"/>
      <c r="C48"/>
      <c r="D48"/>
      <c r="E48"/>
      <c r="F48"/>
      <c r="G48"/>
      <c r="H48"/>
      <c r="I48"/>
      <c r="J48"/>
      <c r="K48"/>
      <c r="L48"/>
      <c r="M48"/>
      <c r="N48"/>
      <c r="O48"/>
      <c r="P48"/>
      <c r="Q48"/>
      <c r="R48"/>
      <c r="S48"/>
      <c r="T48"/>
      <c r="U48"/>
      <c r="V48"/>
      <c r="W48"/>
      <c r="X48"/>
      <c r="Y48"/>
      <c r="Z48"/>
    </row>
    <row r="49" spans="1:26">
      <c r="A49"/>
      <c r="B49"/>
      <c r="C49"/>
      <c r="D49"/>
      <c r="E49"/>
      <c r="F49"/>
      <c r="G49"/>
      <c r="H49"/>
      <c r="I49"/>
      <c r="J49"/>
      <c r="K49"/>
      <c r="L49"/>
      <c r="M49"/>
      <c r="N49"/>
      <c r="O49"/>
      <c r="P49"/>
      <c r="Q49"/>
      <c r="R49"/>
      <c r="S49"/>
      <c r="T49"/>
      <c r="U49"/>
      <c r="V49"/>
      <c r="W49"/>
      <c r="X49"/>
      <c r="Y49"/>
      <c r="Z49"/>
    </row>
    <row r="50" spans="1:26">
      <c r="A50"/>
      <c r="B50"/>
      <c r="C50"/>
      <c r="D50"/>
      <c r="E50"/>
      <c r="F50"/>
      <c r="G50"/>
      <c r="H50"/>
      <c r="I50"/>
      <c r="J50"/>
      <c r="K50"/>
      <c r="L50"/>
      <c r="M50"/>
      <c r="N50"/>
      <c r="O50"/>
      <c r="P50"/>
      <c r="Q50"/>
      <c r="R50"/>
      <c r="S50"/>
      <c r="T50"/>
      <c r="U50"/>
      <c r="V50"/>
      <c r="W50"/>
      <c r="X50"/>
      <c r="Y50"/>
      <c r="Z50"/>
    </row>
    <row r="51" spans="1:26">
      <c r="A51"/>
      <c r="B51"/>
      <c r="C51"/>
      <c r="D51"/>
      <c r="E51"/>
      <c r="F51"/>
      <c r="G51"/>
      <c r="H51"/>
      <c r="I51"/>
      <c r="J51"/>
      <c r="K51"/>
      <c r="L51"/>
      <c r="M51"/>
      <c r="N51"/>
      <c r="O51"/>
      <c r="P51"/>
      <c r="Q51"/>
      <c r="R51"/>
      <c r="S51"/>
      <c r="T51"/>
      <c r="U51"/>
      <c r="V51"/>
      <c r="W51"/>
      <c r="X51"/>
      <c r="Y51"/>
      <c r="Z51"/>
    </row>
    <row r="52" spans="1:26">
      <c r="A52"/>
      <c r="B52"/>
      <c r="C52"/>
      <c r="D52"/>
      <c r="E52"/>
      <c r="F52"/>
      <c r="G52"/>
      <c r="H52"/>
      <c r="I52"/>
      <c r="J52"/>
      <c r="K52"/>
      <c r="L52"/>
      <c r="M52"/>
      <c r="N52"/>
      <c r="O52"/>
      <c r="P52"/>
      <c r="Q52"/>
      <c r="R52"/>
      <c r="S52"/>
      <c r="T52"/>
      <c r="U52"/>
      <c r="V52"/>
      <c r="W52"/>
      <c r="X52"/>
      <c r="Y52"/>
      <c r="Z52"/>
    </row>
    <row r="53" spans="1:26">
      <c r="A53"/>
      <c r="B53"/>
      <c r="C53"/>
      <c r="D53"/>
      <c r="E53"/>
      <c r="F53"/>
      <c r="G53"/>
      <c r="H53"/>
      <c r="I53"/>
      <c r="J53"/>
      <c r="K53"/>
      <c r="L53"/>
      <c r="M53"/>
      <c r="N53"/>
      <c r="O53"/>
      <c r="P53"/>
      <c r="Q53"/>
      <c r="R53"/>
      <c r="S53"/>
      <c r="T53"/>
      <c r="U53"/>
      <c r="V53"/>
      <c r="W53"/>
      <c r="X53"/>
      <c r="Y53"/>
      <c r="Z53"/>
    </row>
    <row r="54" spans="1:26">
      <c r="A54"/>
      <c r="B54"/>
      <c r="C54"/>
      <c r="D54"/>
      <c r="E54"/>
      <c r="F54"/>
      <c r="G54"/>
      <c r="H54"/>
      <c r="I54"/>
      <c r="J54"/>
      <c r="K54"/>
      <c r="L54"/>
      <c r="M54"/>
      <c r="N54"/>
      <c r="O54"/>
      <c r="P54"/>
      <c r="Q54"/>
      <c r="R54"/>
      <c r="S54"/>
      <c r="T54"/>
      <c r="U54"/>
      <c r="V54"/>
      <c r="W54"/>
      <c r="X54"/>
      <c r="Y54"/>
      <c r="Z54"/>
    </row>
    <row r="55" spans="1:26">
      <c r="A55"/>
      <c r="B55"/>
      <c r="C55"/>
      <c r="D55"/>
      <c r="E55"/>
      <c r="F55"/>
      <c r="G55"/>
      <c r="H55"/>
      <c r="I55"/>
      <c r="J55"/>
      <c r="K55"/>
      <c r="L55"/>
      <c r="M55"/>
      <c r="N55"/>
      <c r="O55"/>
      <c r="P55"/>
      <c r="Q55"/>
      <c r="R55"/>
      <c r="S55"/>
      <c r="T55"/>
      <c r="U55"/>
      <c r="V55"/>
      <c r="W55"/>
      <c r="X55"/>
      <c r="Y55"/>
      <c r="Z55"/>
    </row>
    <row r="56" spans="1:26">
      <c r="A56"/>
      <c r="B56"/>
      <c r="C56"/>
      <c r="D56"/>
      <c r="E56"/>
      <c r="F56"/>
      <c r="G56"/>
      <c r="H56"/>
      <c r="I56"/>
      <c r="J56"/>
      <c r="K56"/>
      <c r="L56"/>
      <c r="M56"/>
      <c r="N56"/>
      <c r="O56"/>
      <c r="P56"/>
      <c r="Q56"/>
      <c r="R56"/>
      <c r="S56"/>
      <c r="T56"/>
      <c r="U56"/>
      <c r="V56"/>
      <c r="W56"/>
      <c r="X56"/>
      <c r="Y56"/>
      <c r="Z56"/>
    </row>
    <row r="57" spans="1:26">
      <c r="A57"/>
      <c r="B57"/>
      <c r="C57"/>
      <c r="D57"/>
      <c r="E57"/>
      <c r="F57"/>
      <c r="G57"/>
      <c r="H57"/>
      <c r="I57"/>
      <c r="J57"/>
      <c r="K57"/>
      <c r="L57"/>
      <c r="M57"/>
      <c r="N57"/>
      <c r="O57"/>
      <c r="P57"/>
      <c r="Q57"/>
      <c r="R57"/>
      <c r="S57"/>
      <c r="T57"/>
      <c r="U57"/>
      <c r="V57"/>
      <c r="W57"/>
      <c r="X57"/>
      <c r="Y57"/>
      <c r="Z57"/>
    </row>
    <row r="58" spans="1:26">
      <c r="A58"/>
      <c r="B58"/>
      <c r="C58"/>
      <c r="D58"/>
      <c r="E58"/>
      <c r="F58"/>
      <c r="G58"/>
      <c r="H58"/>
      <c r="I58"/>
      <c r="J58"/>
      <c r="K58"/>
      <c r="L58"/>
      <c r="M58"/>
      <c r="N58"/>
      <c r="O58"/>
      <c r="P58"/>
      <c r="Q58"/>
      <c r="R58"/>
      <c r="S58"/>
      <c r="T58"/>
      <c r="U58"/>
      <c r="V58"/>
      <c r="W58"/>
      <c r="X58"/>
      <c r="Y58"/>
      <c r="Z58"/>
    </row>
    <row r="59" spans="1:26">
      <c r="A59"/>
      <c r="B59"/>
      <c r="C59"/>
      <c r="D59"/>
      <c r="E59"/>
      <c r="F59"/>
      <c r="G59"/>
      <c r="H59"/>
      <c r="I59"/>
      <c r="J59"/>
      <c r="K59"/>
      <c r="L59"/>
      <c r="M59"/>
      <c r="N59"/>
      <c r="O59"/>
      <c r="P59"/>
      <c r="Q59"/>
      <c r="R59"/>
      <c r="S59"/>
      <c r="T59"/>
      <c r="U59"/>
      <c r="V59"/>
      <c r="W59"/>
      <c r="X59"/>
      <c r="Y59"/>
      <c r="Z59"/>
    </row>
    <row r="60" spans="1:26">
      <c r="A60"/>
      <c r="B60"/>
      <c r="C60"/>
      <c r="D60"/>
      <c r="E60"/>
      <c r="F60"/>
      <c r="G60"/>
      <c r="H60"/>
      <c r="I60"/>
      <c r="J60"/>
      <c r="K60"/>
      <c r="L60"/>
      <c r="M60"/>
      <c r="N60"/>
      <c r="O60"/>
      <c r="P60"/>
      <c r="Q60"/>
      <c r="R60"/>
      <c r="S60"/>
      <c r="T60"/>
      <c r="U60"/>
      <c r="V60"/>
      <c r="W60"/>
      <c r="X60"/>
      <c r="Y60"/>
      <c r="Z60"/>
    </row>
    <row r="61" spans="1:26">
      <c r="A61"/>
      <c r="B61"/>
      <c r="C61"/>
      <c r="D61"/>
      <c r="E61"/>
      <c r="F61"/>
      <c r="G61"/>
      <c r="H61"/>
      <c r="I61"/>
      <c r="J61"/>
      <c r="K61"/>
      <c r="L61"/>
      <c r="M61"/>
      <c r="N61"/>
      <c r="O61"/>
      <c r="P61"/>
      <c r="Q61"/>
      <c r="R61"/>
      <c r="S61"/>
      <c r="T61"/>
      <c r="U61"/>
      <c r="V61"/>
      <c r="W61"/>
      <c r="X61"/>
      <c r="Y61"/>
      <c r="Z61"/>
    </row>
    <row r="62" spans="1:26">
      <c r="A62"/>
      <c r="B62"/>
      <c r="C62"/>
      <c r="D62"/>
      <c r="E62"/>
      <c r="F62"/>
      <c r="G62"/>
      <c r="H62"/>
      <c r="I62"/>
      <c r="J62"/>
      <c r="K62"/>
      <c r="L62"/>
      <c r="M62"/>
      <c r="N62"/>
      <c r="O62"/>
      <c r="P62"/>
      <c r="Q62"/>
      <c r="R62"/>
      <c r="S62"/>
      <c r="T62"/>
      <c r="U62"/>
      <c r="V62"/>
      <c r="W62"/>
      <c r="X62"/>
      <c r="Y62"/>
      <c r="Z62"/>
    </row>
    <row r="63" spans="1:26">
      <c r="A63"/>
      <c r="B63"/>
      <c r="C63"/>
      <c r="D63"/>
      <c r="E63"/>
      <c r="F63"/>
      <c r="G63"/>
      <c r="H63"/>
      <c r="I63"/>
      <c r="J63"/>
      <c r="K63"/>
      <c r="L63"/>
      <c r="M63"/>
      <c r="N63"/>
      <c r="O63"/>
      <c r="P63"/>
      <c r="Q63"/>
      <c r="R63"/>
      <c r="S63"/>
      <c r="T63"/>
      <c r="U63"/>
      <c r="V63"/>
      <c r="W63"/>
      <c r="X63"/>
      <c r="Y63"/>
      <c r="Z63"/>
    </row>
    <row r="64" spans="1:26">
      <c r="A64"/>
      <c r="B64"/>
      <c r="C64"/>
      <c r="D64"/>
      <c r="E64"/>
      <c r="F64"/>
      <c r="G64"/>
      <c r="H64"/>
      <c r="I64"/>
      <c r="J64"/>
      <c r="K64"/>
      <c r="L64"/>
      <c r="M64"/>
      <c r="N64"/>
      <c r="O64"/>
      <c r="P64"/>
      <c r="Q64"/>
      <c r="R64"/>
      <c r="S64"/>
      <c r="T64"/>
      <c r="U64"/>
      <c r="V64"/>
      <c r="W64"/>
      <c r="X64"/>
      <c r="Y64"/>
      <c r="Z64"/>
    </row>
    <row r="65" spans="1:26">
      <c r="A65"/>
      <c r="B65"/>
      <c r="C65"/>
      <c r="D65"/>
      <c r="E65"/>
      <c r="F65"/>
      <c r="G65"/>
      <c r="H65"/>
      <c r="I65"/>
      <c r="J65"/>
      <c r="K65"/>
      <c r="L65"/>
      <c r="M65"/>
      <c r="N65"/>
      <c r="O65"/>
      <c r="P65"/>
      <c r="Q65"/>
      <c r="R65"/>
      <c r="S65"/>
      <c r="T65"/>
      <c r="U65"/>
      <c r="V65"/>
      <c r="W65"/>
      <c r="X65"/>
      <c r="Y65"/>
      <c r="Z65"/>
    </row>
    <row r="66" spans="1:26">
      <c r="A66"/>
      <c r="B66"/>
      <c r="C66"/>
      <c r="D66"/>
      <c r="E66"/>
      <c r="F66"/>
      <c r="G66"/>
      <c r="H66"/>
      <c r="I66"/>
      <c r="J66"/>
      <c r="K66"/>
      <c r="L66"/>
      <c r="M66"/>
      <c r="N66"/>
      <c r="O66"/>
      <c r="P66"/>
      <c r="Q66"/>
      <c r="R66"/>
      <c r="S66"/>
      <c r="T66"/>
      <c r="U66"/>
      <c r="V66"/>
      <c r="W66"/>
      <c r="X66"/>
      <c r="Y66"/>
      <c r="Z66"/>
    </row>
    <row r="67" spans="1:26">
      <c r="A67"/>
      <c r="B67"/>
      <c r="C67"/>
      <c r="D67"/>
      <c r="E67"/>
      <c r="F67"/>
      <c r="G67"/>
      <c r="H67"/>
      <c r="I67"/>
      <c r="J67"/>
      <c r="K67"/>
      <c r="L67"/>
      <c r="M67"/>
      <c r="N67"/>
      <c r="O67"/>
      <c r="P67"/>
      <c r="Q67"/>
      <c r="R67"/>
      <c r="S67"/>
      <c r="T67"/>
      <c r="U67"/>
      <c r="V67"/>
      <c r="W67"/>
      <c r="X67"/>
      <c r="Y67"/>
      <c r="Z67"/>
    </row>
    <row r="68" spans="1:26">
      <c r="A68"/>
      <c r="B68"/>
      <c r="C68"/>
      <c r="D68"/>
      <c r="E68"/>
      <c r="F68"/>
      <c r="G68"/>
      <c r="H68"/>
      <c r="I68"/>
      <c r="J68"/>
      <c r="K68"/>
      <c r="L68"/>
      <c r="M68"/>
      <c r="N68"/>
      <c r="O68"/>
      <c r="P68"/>
      <c r="Q68"/>
      <c r="R68"/>
      <c r="S68"/>
      <c r="T68"/>
      <c r="U68"/>
      <c r="V68"/>
      <c r="W68"/>
      <c r="X68"/>
      <c r="Y68"/>
      <c r="Z68"/>
    </row>
    <row r="69" spans="1:26">
      <c r="A69"/>
      <c r="B69"/>
      <c r="C69"/>
      <c r="D69"/>
      <c r="E69"/>
      <c r="F69"/>
      <c r="G69"/>
      <c r="H69"/>
      <c r="I69"/>
      <c r="J69"/>
      <c r="K69"/>
      <c r="L69"/>
      <c r="M69"/>
      <c r="N69"/>
      <c r="O69"/>
      <c r="P69"/>
      <c r="Q69"/>
      <c r="R69"/>
      <c r="S69"/>
      <c r="T69"/>
      <c r="U69"/>
      <c r="V69"/>
      <c r="W69"/>
      <c r="X69"/>
      <c r="Y69"/>
      <c r="Z69"/>
    </row>
    <row r="70" spans="1:26">
      <c r="A70"/>
      <c r="B70"/>
      <c r="C70"/>
      <c r="D70"/>
      <c r="E70"/>
      <c r="F70"/>
      <c r="G70"/>
      <c r="H70"/>
      <c r="I70"/>
      <c r="J70"/>
      <c r="K70"/>
      <c r="L70"/>
      <c r="M70"/>
      <c r="N70"/>
      <c r="O70"/>
      <c r="P70"/>
      <c r="Q70"/>
      <c r="R70"/>
      <c r="S70"/>
      <c r="T70"/>
      <c r="U70"/>
      <c r="V70"/>
      <c r="W70"/>
      <c r="X70"/>
      <c r="Y70"/>
      <c r="Z70"/>
    </row>
    <row r="71" spans="1:26">
      <c r="A71"/>
      <c r="B71"/>
      <c r="C71"/>
      <c r="D71"/>
      <c r="E71"/>
      <c r="F71"/>
      <c r="G71"/>
      <c r="H71"/>
      <c r="I71"/>
      <c r="J71"/>
      <c r="K71"/>
      <c r="L71"/>
      <c r="M71"/>
      <c r="N71"/>
      <c r="O71"/>
      <c r="P71"/>
      <c r="Q71"/>
      <c r="R71"/>
      <c r="S71"/>
      <c r="T71"/>
      <c r="U71"/>
      <c r="V71"/>
      <c r="W71"/>
      <c r="X71"/>
      <c r="Y71"/>
      <c r="Z71"/>
    </row>
    <row r="72" spans="1:26">
      <c r="A72"/>
      <c r="B72"/>
      <c r="C72"/>
      <c r="D72"/>
      <c r="E72"/>
      <c r="F72"/>
      <c r="G72"/>
      <c r="H72"/>
      <c r="I72"/>
      <c r="J72"/>
      <c r="K72"/>
      <c r="L72"/>
      <c r="M72"/>
      <c r="N72"/>
      <c r="O72"/>
      <c r="P72"/>
      <c r="Q72"/>
      <c r="R72"/>
      <c r="S72"/>
      <c r="T72"/>
      <c r="U72"/>
      <c r="V72"/>
      <c r="W72"/>
      <c r="X72"/>
      <c r="Y72"/>
      <c r="Z72"/>
    </row>
    <row r="73" spans="1:26">
      <c r="A73"/>
      <c r="B73"/>
      <c r="C73"/>
      <c r="D73"/>
      <c r="E73"/>
      <c r="F73"/>
      <c r="G73"/>
      <c r="H73"/>
      <c r="I73"/>
      <c r="J73"/>
      <c r="K73"/>
      <c r="L73"/>
      <c r="M73"/>
      <c r="N73"/>
      <c r="O73"/>
      <c r="P73"/>
      <c r="Q73"/>
      <c r="R73"/>
      <c r="S73"/>
      <c r="T73"/>
      <c r="U73"/>
      <c r="V73"/>
      <c r="W73"/>
      <c r="X73"/>
      <c r="Y73"/>
      <c r="Z73"/>
    </row>
    <row r="74" spans="1:26">
      <c r="A74"/>
      <c r="B74"/>
      <c r="C74"/>
      <c r="D74"/>
      <c r="E74"/>
      <c r="F74"/>
      <c r="G74"/>
      <c r="H74"/>
      <c r="I74"/>
      <c r="J74"/>
      <c r="K74"/>
      <c r="L74"/>
      <c r="M74"/>
      <c r="N74"/>
      <c r="O74"/>
      <c r="P74"/>
      <c r="Q74"/>
      <c r="R74"/>
      <c r="S74"/>
      <c r="T74"/>
      <c r="U74"/>
      <c r="V74"/>
      <c r="W74"/>
      <c r="X74"/>
      <c r="Y74"/>
      <c r="Z74"/>
    </row>
    <row r="75" spans="1:26">
      <c r="A75"/>
      <c r="B75"/>
      <c r="C75"/>
      <c r="D75"/>
      <c r="E75"/>
      <c r="F75"/>
      <c r="G75"/>
      <c r="H75"/>
      <c r="I75"/>
      <c r="J75"/>
      <c r="K75"/>
      <c r="L75"/>
      <c r="M75"/>
      <c r="N75"/>
      <c r="O75"/>
      <c r="P75"/>
      <c r="Q75"/>
      <c r="R75"/>
      <c r="S75"/>
      <c r="T75"/>
      <c r="U75"/>
      <c r="V75"/>
      <c r="W75"/>
      <c r="X75"/>
      <c r="Y75"/>
      <c r="Z75"/>
    </row>
    <row r="76" spans="1:26">
      <c r="A76"/>
      <c r="B76"/>
      <c r="C76"/>
      <c r="D76"/>
      <c r="E76"/>
      <c r="F76"/>
      <c r="G76"/>
      <c r="H76"/>
      <c r="I76"/>
      <c r="J76"/>
      <c r="K76"/>
      <c r="L76"/>
      <c r="M76"/>
      <c r="N76"/>
      <c r="O76"/>
      <c r="P76"/>
      <c r="Q76"/>
      <c r="R76"/>
      <c r="S76"/>
      <c r="T76"/>
      <c r="U76"/>
      <c r="V76"/>
      <c r="W76"/>
      <c r="X76"/>
      <c r="Y76"/>
      <c r="Z76"/>
    </row>
    <row r="77" spans="1:26">
      <c r="A77"/>
      <c r="B77"/>
      <c r="C77"/>
      <c r="D77"/>
      <c r="E77"/>
      <c r="F77"/>
      <c r="G77"/>
      <c r="H77"/>
      <c r="I77"/>
      <c r="J77"/>
      <c r="K77"/>
      <c r="L77"/>
      <c r="M77"/>
      <c r="N77"/>
      <c r="O77"/>
      <c r="P77"/>
      <c r="Q77"/>
      <c r="R77"/>
      <c r="S77"/>
      <c r="T77"/>
      <c r="U77"/>
      <c r="V77"/>
      <c r="W77"/>
      <c r="X77"/>
      <c r="Y77"/>
      <c r="Z77"/>
    </row>
    <row r="78" spans="1:26">
      <c r="A78"/>
      <c r="B78"/>
      <c r="C78"/>
      <c r="D78"/>
      <c r="E78"/>
      <c r="F78"/>
      <c r="G78"/>
      <c r="H78"/>
      <c r="I78"/>
      <c r="J78"/>
      <c r="K78"/>
      <c r="L78"/>
      <c r="M78"/>
      <c r="N78"/>
      <c r="O78"/>
      <c r="P78"/>
      <c r="Q78"/>
      <c r="R78"/>
      <c r="S78"/>
      <c r="T78"/>
      <c r="U78"/>
      <c r="V78"/>
      <c r="W78"/>
      <c r="X78"/>
      <c r="Y78"/>
      <c r="Z78"/>
    </row>
    <row r="79" spans="1:26">
      <c r="A79"/>
      <c r="B79"/>
      <c r="C79"/>
      <c r="D79"/>
      <c r="E79"/>
      <c r="F79"/>
      <c r="G79"/>
      <c r="H79"/>
      <c r="I79"/>
      <c r="J79"/>
      <c r="K79"/>
      <c r="L79"/>
      <c r="M79"/>
      <c r="N79"/>
      <c r="O79"/>
      <c r="P79"/>
      <c r="Q79"/>
      <c r="R79"/>
      <c r="S79"/>
      <c r="T79"/>
      <c r="U79"/>
      <c r="V79"/>
      <c r="W79"/>
      <c r="X79"/>
      <c r="Y79"/>
      <c r="Z79"/>
    </row>
    <row r="80" spans="1:26">
      <c r="A80"/>
      <c r="B80"/>
      <c r="C80"/>
      <c r="D80"/>
      <c r="E80"/>
      <c r="F80"/>
      <c r="G80"/>
      <c r="H80"/>
      <c r="I80"/>
      <c r="J80"/>
      <c r="K80"/>
      <c r="L80"/>
      <c r="M80"/>
      <c r="N80"/>
      <c r="O80"/>
      <c r="P80"/>
      <c r="Q80"/>
      <c r="R80"/>
      <c r="S80"/>
      <c r="T80"/>
      <c r="U80"/>
      <c r="V80"/>
      <c r="W80"/>
      <c r="X80"/>
      <c r="Y80"/>
      <c r="Z80"/>
    </row>
    <row r="81" spans="1:26">
      <c r="A81"/>
      <c r="B81"/>
      <c r="C81"/>
      <c r="D81"/>
      <c r="E81"/>
      <c r="F81"/>
      <c r="G81"/>
      <c r="H81"/>
      <c r="I81"/>
      <c r="J81"/>
      <c r="K81"/>
      <c r="L81"/>
      <c r="M81"/>
      <c r="N81"/>
      <c r="O81"/>
      <c r="P81"/>
      <c r="Q81"/>
      <c r="R81"/>
      <c r="S81"/>
      <c r="T81"/>
      <c r="U81"/>
      <c r="V81"/>
      <c r="W81"/>
      <c r="X81"/>
      <c r="Y81"/>
      <c r="Z81"/>
    </row>
    <row r="82" spans="1:26">
      <c r="A82"/>
      <c r="B82"/>
      <c r="C82"/>
      <c r="D82"/>
      <c r="E82"/>
      <c r="F82"/>
      <c r="G82"/>
      <c r="H82"/>
      <c r="I82"/>
      <c r="J82"/>
      <c r="K82"/>
      <c r="L82"/>
      <c r="M82"/>
      <c r="N82"/>
      <c r="O82"/>
      <c r="P82"/>
      <c r="Q82"/>
      <c r="R82"/>
      <c r="S82"/>
      <c r="T82"/>
      <c r="U82"/>
      <c r="V82"/>
      <c r="W82"/>
      <c r="X82"/>
      <c r="Y82"/>
      <c r="Z82"/>
    </row>
    <row r="83" spans="1:26">
      <c r="A83"/>
      <c r="B83"/>
      <c r="C83"/>
      <c r="D83"/>
      <c r="E83"/>
      <c r="F83"/>
      <c r="G83"/>
      <c r="H83"/>
      <c r="I83"/>
      <c r="J83"/>
      <c r="K83"/>
      <c r="L83"/>
      <c r="M83"/>
      <c r="N83"/>
      <c r="O83"/>
      <c r="P83"/>
      <c r="Q83"/>
      <c r="R83"/>
      <c r="S83"/>
      <c r="T83"/>
      <c r="U83"/>
      <c r="V83"/>
      <c r="W83"/>
      <c r="X83"/>
      <c r="Y83"/>
      <c r="Z83"/>
    </row>
    <row r="84" spans="1:26">
      <c r="A84"/>
      <c r="B84"/>
      <c r="C84"/>
      <c r="D84"/>
      <c r="E84"/>
      <c r="F84"/>
      <c r="G84"/>
      <c r="H84"/>
      <c r="I84"/>
      <c r="J84"/>
      <c r="K84"/>
      <c r="L84"/>
      <c r="M84"/>
      <c r="N84"/>
      <c r="O84"/>
      <c r="P84"/>
      <c r="Q84"/>
      <c r="R84"/>
      <c r="S84"/>
      <c r="T84"/>
      <c r="U84"/>
      <c r="V84"/>
      <c r="W84"/>
      <c r="X84"/>
      <c r="Y84"/>
      <c r="Z84"/>
    </row>
    <row r="85" spans="1:26">
      <c r="A85"/>
      <c r="B85"/>
      <c r="C85"/>
      <c r="D85"/>
      <c r="E85"/>
      <c r="F85"/>
      <c r="G85"/>
      <c r="H85"/>
      <c r="I85"/>
      <c r="J85"/>
      <c r="K85"/>
      <c r="L85"/>
      <c r="M85"/>
      <c r="N85"/>
      <c r="O85"/>
      <c r="P85"/>
      <c r="Q85"/>
      <c r="R85"/>
      <c r="S85"/>
      <c r="T85"/>
      <c r="U85"/>
      <c r="V85"/>
      <c r="W85"/>
      <c r="X85"/>
      <c r="Y85"/>
      <c r="Z85"/>
    </row>
    <row r="86" spans="1:26">
      <c r="A86"/>
      <c r="B86"/>
      <c r="C86"/>
      <c r="D86"/>
      <c r="E86"/>
      <c r="F86"/>
      <c r="G86"/>
      <c r="H86"/>
      <c r="I86"/>
      <c r="J86"/>
      <c r="K86"/>
      <c r="L86"/>
      <c r="M86"/>
      <c r="N86"/>
      <c r="O86"/>
      <c r="P86"/>
      <c r="Q86"/>
      <c r="R86"/>
      <c r="S86"/>
      <c r="T86"/>
      <c r="U86"/>
      <c r="V86"/>
      <c r="W86"/>
      <c r="X86"/>
      <c r="Y86"/>
      <c r="Z86"/>
    </row>
    <row r="87" spans="1:26">
      <c r="A87"/>
      <c r="B87"/>
      <c r="C87"/>
      <c r="D87"/>
      <c r="E87"/>
      <c r="F87"/>
      <c r="G87"/>
      <c r="H87"/>
      <c r="I87"/>
      <c r="J87"/>
      <c r="K87"/>
      <c r="L87"/>
      <c r="M87"/>
      <c r="N87"/>
      <c r="O87"/>
      <c r="P87"/>
      <c r="Q87"/>
      <c r="R87"/>
      <c r="S87"/>
      <c r="T87"/>
      <c r="U87"/>
      <c r="V87"/>
      <c r="W87"/>
      <c r="X87"/>
      <c r="Y87"/>
      <c r="Z87"/>
    </row>
    <row r="88" spans="1:26">
      <c r="A88"/>
      <c r="B88"/>
      <c r="C88"/>
      <c r="D88"/>
      <c r="E88"/>
      <c r="F88"/>
      <c r="G88"/>
      <c r="H88"/>
      <c r="I88"/>
      <c r="J88"/>
      <c r="K88"/>
      <c r="L88"/>
      <c r="M88"/>
      <c r="N88"/>
      <c r="O88"/>
      <c r="P88"/>
      <c r="Q88"/>
      <c r="R88"/>
      <c r="S88"/>
      <c r="T88"/>
      <c r="U88"/>
      <c r="V88"/>
      <c r="W88"/>
      <c r="X88"/>
      <c r="Y88"/>
      <c r="Z88"/>
    </row>
    <row r="89" spans="1:26">
      <c r="A89"/>
      <c r="B89"/>
      <c r="C89"/>
      <c r="D89"/>
      <c r="E89"/>
      <c r="F89"/>
      <c r="G89"/>
      <c r="H89"/>
      <c r="I89"/>
      <c r="J89"/>
      <c r="K89"/>
      <c r="L89"/>
      <c r="M89"/>
      <c r="N89"/>
      <c r="O89"/>
      <c r="P89"/>
      <c r="Q89"/>
      <c r="R89"/>
      <c r="S89"/>
      <c r="T89"/>
      <c r="U89"/>
      <c r="V89"/>
      <c r="W89"/>
      <c r="X89"/>
      <c r="Y89"/>
      <c r="Z89"/>
    </row>
    <row r="90" spans="1:26">
      <c r="A90"/>
      <c r="B90"/>
      <c r="C90"/>
      <c r="D90"/>
      <c r="E90"/>
      <c r="F90"/>
      <c r="G90"/>
      <c r="H90"/>
      <c r="I90"/>
      <c r="J90"/>
      <c r="K90"/>
      <c r="L90"/>
      <c r="M90"/>
      <c r="N90"/>
      <c r="O90"/>
      <c r="P90"/>
      <c r="Q90"/>
      <c r="R90"/>
      <c r="S90"/>
      <c r="T90"/>
      <c r="U90"/>
      <c r="V90"/>
      <c r="W90"/>
      <c r="X90"/>
      <c r="Y90"/>
      <c r="Z90"/>
    </row>
    <row r="91" spans="1:26">
      <c r="A91"/>
      <c r="B91"/>
      <c r="C91"/>
      <c r="D91"/>
      <c r="E91"/>
      <c r="F91"/>
      <c r="G91"/>
      <c r="H91"/>
      <c r="I91"/>
      <c r="J91"/>
      <c r="K91"/>
      <c r="L91"/>
      <c r="M91"/>
      <c r="N91"/>
      <c r="O91"/>
      <c r="P91"/>
      <c r="Q91"/>
      <c r="R91"/>
      <c r="S91"/>
      <c r="T91"/>
      <c r="U91"/>
      <c r="V91"/>
      <c r="W91"/>
      <c r="X91"/>
      <c r="Y91"/>
      <c r="Z91"/>
    </row>
    <row r="92" spans="1:26">
      <c r="A92"/>
      <c r="B92"/>
      <c r="C92"/>
      <c r="D92"/>
      <c r="E92"/>
      <c r="F92"/>
      <c r="G92"/>
      <c r="H92"/>
      <c r="I92"/>
      <c r="J92"/>
      <c r="K92"/>
      <c r="L92"/>
      <c r="M92"/>
      <c r="N92"/>
      <c r="O92"/>
      <c r="P92"/>
      <c r="Q92"/>
      <c r="R92"/>
      <c r="S92"/>
      <c r="T92"/>
      <c r="U92"/>
      <c r="V92"/>
      <c r="W92"/>
      <c r="X92"/>
      <c r="Y92"/>
      <c r="Z92"/>
    </row>
    <row r="93" spans="1:26">
      <c r="A93"/>
      <c r="B93"/>
      <c r="C93"/>
      <c r="D93"/>
      <c r="E93"/>
      <c r="F93"/>
      <c r="G93"/>
      <c r="H93"/>
      <c r="I93"/>
      <c r="J93"/>
      <c r="K93"/>
      <c r="L93"/>
      <c r="M93"/>
      <c r="N93"/>
      <c r="O93"/>
      <c r="P93"/>
      <c r="Q93"/>
      <c r="R93"/>
      <c r="S93"/>
      <c r="T93"/>
      <c r="U93"/>
      <c r="V93"/>
      <c r="W93"/>
      <c r="X93"/>
      <c r="Y93"/>
      <c r="Z93"/>
    </row>
    <row r="94" spans="1:26">
      <c r="A94"/>
      <c r="B94"/>
      <c r="C94"/>
      <c r="D94"/>
      <c r="E94"/>
      <c r="F94"/>
      <c r="G94"/>
      <c r="H94"/>
      <c r="I94"/>
      <c r="J94"/>
      <c r="K94"/>
      <c r="L94"/>
      <c r="M94"/>
      <c r="N94"/>
      <c r="O94"/>
      <c r="P94"/>
      <c r="Q94"/>
      <c r="R94"/>
      <c r="S94"/>
      <c r="T94"/>
      <c r="U94"/>
      <c r="V94"/>
      <c r="W94"/>
      <c r="X94"/>
      <c r="Y94"/>
      <c r="Z94"/>
    </row>
    <row r="95" spans="1:26">
      <c r="A95"/>
      <c r="B95"/>
      <c r="C95"/>
      <c r="D95"/>
      <c r="E95"/>
      <c r="F95"/>
      <c r="G95"/>
      <c r="H95"/>
      <c r="I95"/>
      <c r="J95"/>
      <c r="K95"/>
      <c r="L95"/>
      <c r="M95"/>
      <c r="N95"/>
      <c r="O95"/>
      <c r="P95"/>
      <c r="Q95"/>
      <c r="R95"/>
      <c r="S95"/>
      <c r="T95"/>
      <c r="U95"/>
      <c r="V95"/>
      <c r="W95"/>
      <c r="X95"/>
      <c r="Y95"/>
      <c r="Z95"/>
    </row>
    <row r="96" spans="1:26">
      <c r="A96"/>
      <c r="B96"/>
      <c r="C96"/>
      <c r="D96"/>
      <c r="E96"/>
      <c r="F96"/>
      <c r="G96"/>
      <c r="H96"/>
      <c r="I96"/>
      <c r="J96"/>
      <c r="K96"/>
      <c r="L96"/>
      <c r="M96"/>
      <c r="N96"/>
      <c r="O96"/>
      <c r="P96"/>
      <c r="Q96"/>
      <c r="R96"/>
      <c r="S96"/>
      <c r="T96"/>
      <c r="U96"/>
      <c r="V96"/>
      <c r="W96"/>
      <c r="X96"/>
      <c r="Y96"/>
      <c r="Z96"/>
    </row>
    <row r="97" spans="1:26">
      <c r="A97"/>
      <c r="B97"/>
      <c r="C97"/>
      <c r="D97"/>
      <c r="E97"/>
      <c r="F97"/>
      <c r="G97"/>
      <c r="H97"/>
      <c r="I97"/>
      <c r="J97"/>
      <c r="K97"/>
      <c r="L97"/>
      <c r="M97"/>
      <c r="N97"/>
      <c r="O97"/>
      <c r="P97"/>
      <c r="Q97"/>
      <c r="R97"/>
      <c r="S97"/>
      <c r="T97"/>
      <c r="U97"/>
      <c r="V97"/>
      <c r="W97"/>
      <c r="X97"/>
      <c r="Y97"/>
      <c r="Z97"/>
    </row>
    <row r="98" spans="1:26">
      <c r="A98"/>
      <c r="B98"/>
      <c r="C98"/>
      <c r="D98"/>
      <c r="E98"/>
      <c r="F98"/>
      <c r="G98"/>
      <c r="H98"/>
      <c r="I98"/>
      <c r="J98"/>
      <c r="K98"/>
      <c r="L98"/>
      <c r="M98"/>
      <c r="N98"/>
      <c r="O98"/>
      <c r="P98"/>
      <c r="Q98"/>
      <c r="R98"/>
      <c r="S98"/>
      <c r="T98"/>
      <c r="U98"/>
      <c r="V98"/>
      <c r="W98"/>
      <c r="X98"/>
      <c r="Y98"/>
      <c r="Z98"/>
    </row>
    <row r="99" spans="1:26">
      <c r="A99"/>
      <c r="B99"/>
      <c r="C99"/>
      <c r="D99"/>
      <c r="E99"/>
      <c r="F99"/>
      <c r="G99"/>
      <c r="H99"/>
      <c r="I99"/>
      <c r="J99"/>
      <c r="K99"/>
      <c r="L99"/>
      <c r="M99"/>
      <c r="N99"/>
      <c r="O99"/>
      <c r="P99"/>
      <c r="Q99"/>
      <c r="R99"/>
      <c r="S99"/>
      <c r="T99"/>
      <c r="U99"/>
      <c r="V99"/>
      <c r="W99"/>
      <c r="X99"/>
      <c r="Y99"/>
      <c r="Z99"/>
    </row>
    <row r="100" spans="1:26">
      <c r="A100"/>
      <c r="B100"/>
      <c r="C100"/>
      <c r="D100"/>
      <c r="E100"/>
      <c r="F100"/>
      <c r="G100"/>
      <c r="H100"/>
      <c r="I100"/>
      <c r="J100"/>
      <c r="K100"/>
      <c r="L100"/>
      <c r="M100"/>
      <c r="N100"/>
      <c r="O100"/>
      <c r="P100"/>
      <c r="Q100"/>
      <c r="R100"/>
      <c r="S100"/>
      <c r="T100"/>
      <c r="U100"/>
      <c r="V100"/>
      <c r="W100"/>
      <c r="X100"/>
      <c r="Y100"/>
      <c r="Z100"/>
    </row>
  </sheetData>
  <protectedRanges>
    <protectedRange sqref="R16:R17" name="区域1_1_2_2_1"/>
  </protectedRange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D86DB-6FC0-EB40-9C0A-547803E24752}">
  <dimension ref="A1:S41"/>
  <sheetViews>
    <sheetView workbookViewId="0"/>
  </sheetViews>
  <sheetFormatPr baseColWidth="10" defaultRowHeight="15"/>
  <sheetData>
    <row r="1" spans="1:19">
      <c r="G1" t="s">
        <v>173</v>
      </c>
      <c r="M1" t="s">
        <v>172</v>
      </c>
    </row>
    <row r="2" spans="1:19" ht="32">
      <c r="B2" t="s">
        <v>1</v>
      </c>
      <c r="C2" t="s">
        <v>2</v>
      </c>
      <c r="D2" t="s">
        <v>3</v>
      </c>
      <c r="E2" t="s">
        <v>4</v>
      </c>
      <c r="F2" t="s">
        <v>190</v>
      </c>
      <c r="G2" s="63" t="s">
        <v>7</v>
      </c>
      <c r="H2" t="s">
        <v>8</v>
      </c>
      <c r="I2" t="s">
        <v>9</v>
      </c>
      <c r="J2" t="s">
        <v>10</v>
      </c>
      <c r="K2" t="s">
        <v>11</v>
      </c>
      <c r="L2" t="s">
        <v>12</v>
      </c>
      <c r="M2" t="s">
        <v>171</v>
      </c>
      <c r="N2" t="s">
        <v>294</v>
      </c>
      <c r="O2" t="s">
        <v>295</v>
      </c>
      <c r="P2" t="s">
        <v>296</v>
      </c>
      <c r="Q2" t="s">
        <v>297</v>
      </c>
      <c r="R2" t="s">
        <v>298</v>
      </c>
      <c r="S2" t="s">
        <v>299</v>
      </c>
    </row>
    <row r="3" spans="1:19" ht="256">
      <c r="A3" t="s">
        <v>193</v>
      </c>
      <c r="B3" t="s">
        <v>15</v>
      </c>
      <c r="C3" t="s">
        <v>70</v>
      </c>
      <c r="D3" t="s">
        <v>17</v>
      </c>
      <c r="E3" t="s">
        <v>31</v>
      </c>
      <c r="F3" t="s">
        <v>194</v>
      </c>
      <c r="G3">
        <v>70</v>
      </c>
      <c r="H3">
        <v>70</v>
      </c>
      <c r="I3">
        <v>140</v>
      </c>
      <c r="J3">
        <v>400</v>
      </c>
      <c r="K3">
        <v>10</v>
      </c>
      <c r="L3">
        <v>70</v>
      </c>
      <c r="M3">
        <v>950</v>
      </c>
      <c r="N3">
        <v>16</v>
      </c>
      <c r="O3" t="s">
        <v>195</v>
      </c>
      <c r="P3">
        <v>4990</v>
      </c>
      <c r="Q3" t="s">
        <v>300</v>
      </c>
      <c r="R3" s="63" t="s">
        <v>197</v>
      </c>
      <c r="S3" t="s">
        <v>301</v>
      </c>
    </row>
    <row r="4" spans="1:19">
      <c r="B4" t="s">
        <v>128</v>
      </c>
      <c r="C4" t="s">
        <v>70</v>
      </c>
      <c r="D4" t="s">
        <v>17</v>
      </c>
      <c r="E4" t="s">
        <v>31</v>
      </c>
      <c r="F4" t="s">
        <v>199</v>
      </c>
      <c r="G4">
        <v>70</v>
      </c>
      <c r="H4">
        <v>70</v>
      </c>
      <c r="I4">
        <v>170</v>
      </c>
      <c r="J4">
        <v>250</v>
      </c>
      <c r="K4">
        <v>50</v>
      </c>
      <c r="L4">
        <v>50</v>
      </c>
      <c r="M4">
        <v>950</v>
      </c>
      <c r="N4">
        <v>3</v>
      </c>
      <c r="O4" t="s">
        <v>200</v>
      </c>
      <c r="P4">
        <v>6940</v>
      </c>
      <c r="Q4" t="s">
        <v>142</v>
      </c>
    </row>
    <row r="6" spans="1:19" ht="208">
      <c r="A6" t="s">
        <v>202</v>
      </c>
      <c r="B6" t="s">
        <v>15</v>
      </c>
      <c r="C6" t="s">
        <v>16</v>
      </c>
      <c r="D6" t="s">
        <v>17</v>
      </c>
      <c r="E6" t="s">
        <v>18</v>
      </c>
      <c r="F6" t="s">
        <v>199</v>
      </c>
      <c r="G6">
        <v>70</v>
      </c>
      <c r="H6">
        <v>70</v>
      </c>
      <c r="I6">
        <v>140</v>
      </c>
      <c r="J6">
        <v>400</v>
      </c>
      <c r="K6">
        <v>10</v>
      </c>
      <c r="L6">
        <v>70</v>
      </c>
      <c r="M6">
        <v>2685</v>
      </c>
      <c r="N6">
        <v>2</v>
      </c>
      <c r="O6" t="s">
        <v>151</v>
      </c>
      <c r="P6">
        <v>4800</v>
      </c>
      <c r="Q6" t="s">
        <v>302</v>
      </c>
      <c r="R6" s="63" t="s">
        <v>203</v>
      </c>
    </row>
    <row r="7" spans="1:19" ht="112">
      <c r="B7" s="63" t="s">
        <v>21</v>
      </c>
      <c r="C7" t="s">
        <v>22</v>
      </c>
      <c r="D7" t="s">
        <v>17</v>
      </c>
      <c r="E7" t="s">
        <v>23</v>
      </c>
      <c r="F7" t="s">
        <v>199</v>
      </c>
      <c r="G7">
        <v>70</v>
      </c>
      <c r="H7">
        <v>70</v>
      </c>
      <c r="I7">
        <v>140</v>
      </c>
      <c r="J7">
        <v>250</v>
      </c>
      <c r="K7">
        <v>10</v>
      </c>
      <c r="L7">
        <v>70</v>
      </c>
      <c r="M7">
        <v>885</v>
      </c>
      <c r="N7">
        <v>0</v>
      </c>
      <c r="P7">
        <v>5800</v>
      </c>
      <c r="Q7" t="s">
        <v>302</v>
      </c>
    </row>
    <row r="8" spans="1:19" ht="144">
      <c r="A8" t="s">
        <v>206</v>
      </c>
      <c r="B8" t="s">
        <v>24</v>
      </c>
      <c r="C8" s="63" t="s">
        <v>25</v>
      </c>
      <c r="D8" t="s">
        <v>26</v>
      </c>
      <c r="E8" t="s">
        <v>27</v>
      </c>
      <c r="F8" t="s">
        <v>194</v>
      </c>
      <c r="G8">
        <v>70</v>
      </c>
      <c r="H8">
        <v>70</v>
      </c>
      <c r="I8">
        <v>140</v>
      </c>
      <c r="J8">
        <v>300</v>
      </c>
      <c r="K8">
        <v>30</v>
      </c>
      <c r="L8">
        <v>70</v>
      </c>
      <c r="M8">
        <v>2785</v>
      </c>
      <c r="N8">
        <v>4</v>
      </c>
      <c r="O8" t="s">
        <v>151</v>
      </c>
      <c r="P8">
        <v>5300</v>
      </c>
      <c r="Q8" t="s">
        <v>302</v>
      </c>
      <c r="R8" t="s">
        <v>303</v>
      </c>
      <c r="S8" t="s">
        <v>304</v>
      </c>
    </row>
    <row r="9" spans="1:19" ht="144">
      <c r="B9" t="s">
        <v>28</v>
      </c>
      <c r="C9" s="63" t="s">
        <v>25</v>
      </c>
      <c r="D9" t="s">
        <v>29</v>
      </c>
      <c r="E9" t="s">
        <v>27</v>
      </c>
      <c r="F9" t="s">
        <v>194</v>
      </c>
      <c r="G9">
        <v>70</v>
      </c>
      <c r="H9">
        <v>80</v>
      </c>
      <c r="I9">
        <v>160</v>
      </c>
      <c r="J9">
        <v>1000</v>
      </c>
      <c r="K9">
        <v>50</v>
      </c>
      <c r="L9">
        <v>75</v>
      </c>
      <c r="M9">
        <v>2785</v>
      </c>
      <c r="N9">
        <v>3</v>
      </c>
      <c r="O9" t="s">
        <v>208</v>
      </c>
      <c r="P9">
        <v>5200</v>
      </c>
      <c r="Q9" t="s">
        <v>302</v>
      </c>
    </row>
    <row r="10" spans="1:19" ht="144">
      <c r="B10" t="s">
        <v>15</v>
      </c>
      <c r="C10" s="63" t="s">
        <v>25</v>
      </c>
      <c r="D10" t="s">
        <v>17</v>
      </c>
      <c r="E10" t="s">
        <v>27</v>
      </c>
      <c r="F10" t="s">
        <v>194</v>
      </c>
      <c r="G10">
        <v>70</v>
      </c>
      <c r="H10">
        <v>70</v>
      </c>
      <c r="I10">
        <v>140</v>
      </c>
      <c r="J10">
        <v>400</v>
      </c>
      <c r="K10">
        <v>10</v>
      </c>
      <c r="L10">
        <v>70</v>
      </c>
      <c r="M10">
        <v>2785</v>
      </c>
      <c r="N10">
        <v>1</v>
      </c>
      <c r="O10" t="s">
        <v>210</v>
      </c>
      <c r="P10">
        <v>5200</v>
      </c>
      <c r="Q10" t="s">
        <v>302</v>
      </c>
    </row>
    <row r="12" spans="1:19" ht="240">
      <c r="A12" t="s">
        <v>305</v>
      </c>
      <c r="B12" t="s">
        <v>33</v>
      </c>
      <c r="C12" s="63" t="s">
        <v>34</v>
      </c>
      <c r="D12" t="s">
        <v>17</v>
      </c>
      <c r="E12" t="s">
        <v>79</v>
      </c>
      <c r="F12" t="s">
        <v>199</v>
      </c>
      <c r="G12">
        <v>70</v>
      </c>
      <c r="H12">
        <v>70</v>
      </c>
      <c r="I12">
        <v>140</v>
      </c>
      <c r="J12">
        <v>400</v>
      </c>
      <c r="K12">
        <v>10</v>
      </c>
      <c r="L12">
        <v>70</v>
      </c>
      <c r="M12">
        <v>2200</v>
      </c>
      <c r="N12">
        <v>1</v>
      </c>
      <c r="O12" t="s">
        <v>153</v>
      </c>
      <c r="P12">
        <v>3500</v>
      </c>
      <c r="Q12" t="s">
        <v>142</v>
      </c>
      <c r="R12" s="63" t="s">
        <v>213</v>
      </c>
    </row>
    <row r="13" spans="1:19" ht="192">
      <c r="B13" t="s">
        <v>64</v>
      </c>
      <c r="C13" s="63" t="s">
        <v>34</v>
      </c>
      <c r="D13" t="s">
        <v>29</v>
      </c>
      <c r="E13" t="s">
        <v>79</v>
      </c>
      <c r="F13" t="s">
        <v>199</v>
      </c>
      <c r="G13">
        <v>70</v>
      </c>
      <c r="H13">
        <v>70</v>
      </c>
      <c r="I13">
        <v>140</v>
      </c>
      <c r="J13">
        <v>300</v>
      </c>
      <c r="K13">
        <v>250</v>
      </c>
      <c r="L13">
        <v>70</v>
      </c>
      <c r="M13">
        <v>2200</v>
      </c>
      <c r="N13">
        <v>2</v>
      </c>
      <c r="O13" t="s">
        <v>151</v>
      </c>
      <c r="P13" t="s">
        <v>221</v>
      </c>
      <c r="Q13" t="s">
        <v>221</v>
      </c>
    </row>
    <row r="14" spans="1:19" ht="192">
      <c r="B14" t="s">
        <v>74</v>
      </c>
      <c r="C14" s="63" t="s">
        <v>34</v>
      </c>
      <c r="D14" t="s">
        <v>56</v>
      </c>
      <c r="E14" t="s">
        <v>79</v>
      </c>
      <c r="F14" t="s">
        <v>199</v>
      </c>
      <c r="G14">
        <v>70</v>
      </c>
      <c r="H14">
        <v>70</v>
      </c>
      <c r="I14">
        <v>140</v>
      </c>
      <c r="J14">
        <v>300</v>
      </c>
      <c r="K14">
        <v>250</v>
      </c>
      <c r="L14">
        <v>70</v>
      </c>
      <c r="M14">
        <v>2200</v>
      </c>
      <c r="N14">
        <v>0.5</v>
      </c>
      <c r="O14" t="s">
        <v>154</v>
      </c>
      <c r="P14">
        <v>3380</v>
      </c>
      <c r="Q14" t="s">
        <v>142</v>
      </c>
    </row>
    <row r="16" spans="1:19" ht="160">
      <c r="A16" t="s">
        <v>40</v>
      </c>
      <c r="B16" t="s">
        <v>37</v>
      </c>
      <c r="C16" t="s">
        <v>38</v>
      </c>
      <c r="D16" t="s">
        <v>17</v>
      </c>
      <c r="E16" t="s">
        <v>39</v>
      </c>
      <c r="F16" t="s">
        <v>199</v>
      </c>
      <c r="G16">
        <v>70</v>
      </c>
      <c r="H16">
        <v>70</v>
      </c>
      <c r="I16">
        <v>140</v>
      </c>
      <c r="J16">
        <v>250</v>
      </c>
      <c r="K16">
        <v>10</v>
      </c>
      <c r="L16">
        <v>70</v>
      </c>
      <c r="M16">
        <v>800</v>
      </c>
      <c r="N16">
        <v>1</v>
      </c>
      <c r="O16" t="s">
        <v>155</v>
      </c>
      <c r="P16">
        <v>1340</v>
      </c>
      <c r="Q16" t="s">
        <v>142</v>
      </c>
      <c r="R16" s="63" t="s">
        <v>217</v>
      </c>
    </row>
    <row r="17" spans="1:19" ht="256">
      <c r="B17" t="s">
        <v>41</v>
      </c>
      <c r="C17" s="63" t="s">
        <v>42</v>
      </c>
      <c r="D17" t="s">
        <v>17</v>
      </c>
      <c r="E17" t="s">
        <v>39</v>
      </c>
      <c r="F17" t="s">
        <v>199</v>
      </c>
      <c r="G17">
        <v>70</v>
      </c>
      <c r="H17">
        <v>70</v>
      </c>
      <c r="I17">
        <v>140</v>
      </c>
      <c r="J17">
        <v>250</v>
      </c>
      <c r="K17">
        <v>10</v>
      </c>
      <c r="L17">
        <v>70</v>
      </c>
      <c r="M17">
        <v>800</v>
      </c>
      <c r="N17">
        <v>3</v>
      </c>
      <c r="O17" t="s">
        <v>155</v>
      </c>
      <c r="P17">
        <v>1340</v>
      </c>
      <c r="Q17" t="s">
        <v>142</v>
      </c>
    </row>
    <row r="18" spans="1:19">
      <c r="B18" t="s">
        <v>43</v>
      </c>
      <c r="C18" t="s">
        <v>38</v>
      </c>
      <c r="D18" t="s">
        <v>44</v>
      </c>
      <c r="E18" t="s">
        <v>39</v>
      </c>
      <c r="F18" t="s">
        <v>199</v>
      </c>
      <c r="G18">
        <v>70</v>
      </c>
      <c r="H18">
        <v>70</v>
      </c>
      <c r="I18">
        <v>140</v>
      </c>
      <c r="J18">
        <v>420</v>
      </c>
      <c r="K18">
        <v>30</v>
      </c>
      <c r="L18">
        <v>70</v>
      </c>
      <c r="M18">
        <v>800</v>
      </c>
      <c r="N18">
        <v>0.5</v>
      </c>
      <c r="O18" t="s">
        <v>219</v>
      </c>
      <c r="P18">
        <v>1600</v>
      </c>
      <c r="Q18" t="s">
        <v>142</v>
      </c>
    </row>
    <row r="19" spans="1:19" ht="256">
      <c r="B19" t="s">
        <v>45</v>
      </c>
      <c r="C19" s="63" t="s">
        <v>42</v>
      </c>
      <c r="D19" t="s">
        <v>46</v>
      </c>
      <c r="E19" t="s">
        <v>39</v>
      </c>
      <c r="F19" t="s">
        <v>199</v>
      </c>
      <c r="G19">
        <v>70</v>
      </c>
      <c r="H19">
        <v>70</v>
      </c>
      <c r="I19">
        <v>140</v>
      </c>
      <c r="J19">
        <v>420</v>
      </c>
      <c r="K19">
        <v>30</v>
      </c>
      <c r="L19">
        <v>70</v>
      </c>
      <c r="M19">
        <v>800</v>
      </c>
      <c r="N19">
        <v>0.5</v>
      </c>
      <c r="O19" t="s">
        <v>222</v>
      </c>
      <c r="P19" t="s">
        <v>221</v>
      </c>
      <c r="Q19" t="s">
        <v>221</v>
      </c>
    </row>
    <row r="20" spans="1:19" ht="256">
      <c r="B20" s="63" t="s">
        <v>42</v>
      </c>
      <c r="C20" s="63" t="s">
        <v>34</v>
      </c>
      <c r="D20" t="s">
        <v>39</v>
      </c>
      <c r="E20" t="s">
        <v>79</v>
      </c>
      <c r="F20" t="s">
        <v>224</v>
      </c>
      <c r="G20">
        <v>70</v>
      </c>
      <c r="H20">
        <v>70</v>
      </c>
      <c r="I20">
        <v>140</v>
      </c>
      <c r="J20">
        <v>300</v>
      </c>
      <c r="K20">
        <v>30</v>
      </c>
      <c r="L20">
        <v>70</v>
      </c>
      <c r="M20">
        <v>2200</v>
      </c>
      <c r="N20">
        <v>6</v>
      </c>
      <c r="O20" t="s">
        <v>154</v>
      </c>
      <c r="P20">
        <v>3380</v>
      </c>
      <c r="Q20" t="s">
        <v>142</v>
      </c>
    </row>
    <row r="22" spans="1:19" ht="288">
      <c r="A22" t="s">
        <v>48</v>
      </c>
      <c r="B22" s="63" t="s">
        <v>47</v>
      </c>
      <c r="C22" t="s">
        <v>15</v>
      </c>
      <c r="D22" t="s">
        <v>56</v>
      </c>
      <c r="E22" t="s">
        <v>17</v>
      </c>
      <c r="F22" t="s">
        <v>199</v>
      </c>
      <c r="G22">
        <v>70</v>
      </c>
      <c r="H22">
        <v>50</v>
      </c>
      <c r="I22">
        <v>260</v>
      </c>
      <c r="J22">
        <v>325</v>
      </c>
      <c r="K22">
        <v>90</v>
      </c>
      <c r="L22">
        <v>80</v>
      </c>
      <c r="M22">
        <v>600</v>
      </c>
      <c r="N22">
        <v>3</v>
      </c>
      <c r="O22" t="s">
        <v>155</v>
      </c>
      <c r="P22">
        <v>1</v>
      </c>
      <c r="Q22" t="s">
        <v>131</v>
      </c>
      <c r="R22" s="63" t="s">
        <v>306</v>
      </c>
    </row>
    <row r="23" spans="1:19" ht="144">
      <c r="B23" s="63" t="s">
        <v>49</v>
      </c>
      <c r="C23" t="s">
        <v>15</v>
      </c>
      <c r="D23" t="s">
        <v>227</v>
      </c>
      <c r="E23" t="s">
        <v>17</v>
      </c>
      <c r="F23" t="s">
        <v>199</v>
      </c>
      <c r="G23">
        <v>50</v>
      </c>
      <c r="H23">
        <v>35</v>
      </c>
      <c r="I23">
        <v>125</v>
      </c>
      <c r="J23">
        <v>280</v>
      </c>
      <c r="K23">
        <v>150</v>
      </c>
      <c r="L23">
        <v>50</v>
      </c>
      <c r="M23">
        <v>600</v>
      </c>
      <c r="N23">
        <v>1</v>
      </c>
      <c r="O23" t="s">
        <v>156</v>
      </c>
      <c r="P23">
        <v>1</v>
      </c>
      <c r="Q23" t="s">
        <v>131</v>
      </c>
    </row>
    <row r="24" spans="1:19">
      <c r="O24" t="s">
        <v>183</v>
      </c>
      <c r="P24" t="s">
        <v>307</v>
      </c>
      <c r="Q24" t="s">
        <v>308</v>
      </c>
    </row>
    <row r="25" spans="1:19">
      <c r="A25" t="s">
        <v>53</v>
      </c>
      <c r="B25" t="s">
        <v>40</v>
      </c>
      <c r="C25" t="s">
        <v>229</v>
      </c>
      <c r="D25" t="s">
        <v>39</v>
      </c>
      <c r="E25" t="s">
        <v>105</v>
      </c>
      <c r="F25" t="s">
        <v>230</v>
      </c>
      <c r="G25">
        <v>70</v>
      </c>
      <c r="H25">
        <v>50</v>
      </c>
      <c r="I25">
        <v>260</v>
      </c>
      <c r="J25">
        <v>250</v>
      </c>
      <c r="K25">
        <v>90</v>
      </c>
      <c r="L25">
        <v>80</v>
      </c>
      <c r="M25" t="s">
        <v>169</v>
      </c>
      <c r="N25">
        <v>8</v>
      </c>
      <c r="O25" t="s">
        <v>265</v>
      </c>
      <c r="P25">
        <v>4180</v>
      </c>
      <c r="Q25" t="s">
        <v>142</v>
      </c>
      <c r="R25" s="63" t="s">
        <v>309</v>
      </c>
      <c r="S25" t="s">
        <v>310</v>
      </c>
    </row>
    <row r="26" spans="1:19">
      <c r="B26" t="s">
        <v>101</v>
      </c>
      <c r="C26" t="s">
        <v>233</v>
      </c>
      <c r="D26" t="s">
        <v>56</v>
      </c>
      <c r="E26" t="s">
        <v>105</v>
      </c>
      <c r="F26" t="s">
        <v>230</v>
      </c>
      <c r="G26">
        <v>70</v>
      </c>
      <c r="H26">
        <v>50</v>
      </c>
      <c r="I26">
        <v>260</v>
      </c>
      <c r="J26">
        <v>325</v>
      </c>
      <c r="K26">
        <v>90</v>
      </c>
      <c r="L26">
        <v>80</v>
      </c>
      <c r="M26" t="s">
        <v>169</v>
      </c>
      <c r="N26">
        <v>2</v>
      </c>
      <c r="P26">
        <v>4180</v>
      </c>
      <c r="Q26" t="s">
        <v>142</v>
      </c>
    </row>
    <row r="27" spans="1:19">
      <c r="B27" t="s">
        <v>94</v>
      </c>
      <c r="C27" t="s">
        <v>235</v>
      </c>
      <c r="D27" t="s">
        <v>39</v>
      </c>
      <c r="E27" t="s">
        <v>105</v>
      </c>
      <c r="F27" t="s">
        <v>230</v>
      </c>
      <c r="G27">
        <v>70</v>
      </c>
      <c r="H27">
        <v>50</v>
      </c>
      <c r="I27">
        <v>260</v>
      </c>
      <c r="J27">
        <v>250</v>
      </c>
      <c r="K27">
        <v>90</v>
      </c>
      <c r="L27">
        <v>80</v>
      </c>
      <c r="M27" t="s">
        <v>169</v>
      </c>
      <c r="N27">
        <v>1</v>
      </c>
      <c r="P27">
        <v>4180</v>
      </c>
      <c r="Q27" t="s">
        <v>142</v>
      </c>
    </row>
    <row r="28" spans="1:19">
      <c r="B28" t="s">
        <v>102</v>
      </c>
      <c r="C28" t="s">
        <v>233</v>
      </c>
      <c r="D28" t="s">
        <v>29</v>
      </c>
      <c r="E28" t="s">
        <v>105</v>
      </c>
      <c r="F28" t="s">
        <v>230</v>
      </c>
      <c r="G28">
        <v>70</v>
      </c>
      <c r="H28">
        <v>80</v>
      </c>
      <c r="I28">
        <v>160</v>
      </c>
      <c r="J28">
        <v>1000</v>
      </c>
      <c r="K28">
        <v>50</v>
      </c>
      <c r="L28">
        <v>75</v>
      </c>
      <c r="M28" t="s">
        <v>169</v>
      </c>
      <c r="N28">
        <v>2</v>
      </c>
      <c r="O28" t="s">
        <v>266</v>
      </c>
      <c r="P28">
        <v>4500</v>
      </c>
      <c r="Q28" t="s">
        <v>302</v>
      </c>
    </row>
    <row r="29" spans="1:19">
      <c r="B29" t="s">
        <v>103</v>
      </c>
      <c r="C29" t="s">
        <v>233</v>
      </c>
      <c r="D29" t="s">
        <v>227</v>
      </c>
      <c r="E29" t="s">
        <v>105</v>
      </c>
      <c r="F29" t="s">
        <v>230</v>
      </c>
      <c r="G29">
        <v>70</v>
      </c>
      <c r="H29">
        <v>35</v>
      </c>
      <c r="I29">
        <v>145</v>
      </c>
      <c r="J29">
        <v>350</v>
      </c>
      <c r="K29">
        <v>150</v>
      </c>
      <c r="L29">
        <v>50</v>
      </c>
      <c r="M29" t="s">
        <v>169</v>
      </c>
      <c r="N29">
        <v>1</v>
      </c>
      <c r="O29" t="s">
        <v>267</v>
      </c>
      <c r="P29">
        <v>5440</v>
      </c>
      <c r="Q29" t="s">
        <v>142</v>
      </c>
    </row>
    <row r="30" spans="1:19">
      <c r="B30" t="s">
        <v>82</v>
      </c>
      <c r="C30" t="s">
        <v>235</v>
      </c>
      <c r="D30" t="s">
        <v>17</v>
      </c>
      <c r="E30" t="s">
        <v>105</v>
      </c>
      <c r="F30" t="s">
        <v>239</v>
      </c>
      <c r="G30">
        <v>70</v>
      </c>
      <c r="H30">
        <v>70</v>
      </c>
      <c r="I30">
        <v>145</v>
      </c>
      <c r="J30">
        <v>550</v>
      </c>
      <c r="K30">
        <v>15</v>
      </c>
      <c r="L30">
        <v>60</v>
      </c>
      <c r="M30" t="s">
        <v>169</v>
      </c>
      <c r="N30">
        <v>2</v>
      </c>
      <c r="O30" t="s">
        <v>219</v>
      </c>
      <c r="P30">
        <v>4520</v>
      </c>
      <c r="Q30" t="s">
        <v>141</v>
      </c>
    </row>
    <row r="31" spans="1:19">
      <c r="B31" t="s">
        <v>83</v>
      </c>
      <c r="C31" t="s">
        <v>235</v>
      </c>
      <c r="D31" t="s">
        <v>17</v>
      </c>
      <c r="E31" t="s">
        <v>105</v>
      </c>
      <c r="F31" t="s">
        <v>230</v>
      </c>
      <c r="G31">
        <v>70</v>
      </c>
      <c r="H31">
        <v>70</v>
      </c>
      <c r="I31">
        <v>145</v>
      </c>
      <c r="J31">
        <v>550</v>
      </c>
      <c r="K31">
        <v>15</v>
      </c>
      <c r="L31">
        <v>60</v>
      </c>
      <c r="M31" t="s">
        <v>169</v>
      </c>
      <c r="N31">
        <v>1</v>
      </c>
      <c r="P31">
        <v>4520</v>
      </c>
      <c r="Q31" t="s">
        <v>141</v>
      </c>
    </row>
    <row r="32" spans="1:19">
      <c r="B32" t="s">
        <v>84</v>
      </c>
      <c r="C32" t="s">
        <v>235</v>
      </c>
      <c r="D32" t="s">
        <v>17</v>
      </c>
      <c r="E32" t="s">
        <v>105</v>
      </c>
      <c r="F32" t="s">
        <v>230</v>
      </c>
      <c r="G32">
        <v>70</v>
      </c>
      <c r="H32">
        <v>70</v>
      </c>
      <c r="I32">
        <v>145</v>
      </c>
      <c r="J32">
        <v>550</v>
      </c>
      <c r="K32">
        <v>15</v>
      </c>
      <c r="L32">
        <v>60</v>
      </c>
      <c r="M32" t="s">
        <v>169</v>
      </c>
      <c r="N32">
        <v>0.5</v>
      </c>
      <c r="P32">
        <v>4520</v>
      </c>
      <c r="Q32" t="s">
        <v>141</v>
      </c>
    </row>
    <row r="33" spans="2:17">
      <c r="B33" t="s">
        <v>85</v>
      </c>
      <c r="C33" t="s">
        <v>235</v>
      </c>
      <c r="D33" t="s">
        <v>17</v>
      </c>
      <c r="E33" t="s">
        <v>105</v>
      </c>
      <c r="F33" t="s">
        <v>230</v>
      </c>
      <c r="G33">
        <v>70</v>
      </c>
      <c r="H33">
        <v>70</v>
      </c>
      <c r="I33">
        <v>145</v>
      </c>
      <c r="J33">
        <v>250</v>
      </c>
      <c r="K33">
        <v>15</v>
      </c>
      <c r="L33">
        <v>60</v>
      </c>
      <c r="M33" t="s">
        <v>169</v>
      </c>
      <c r="N33">
        <v>2</v>
      </c>
      <c r="P33">
        <v>4520</v>
      </c>
      <c r="Q33" t="s">
        <v>141</v>
      </c>
    </row>
    <row r="34" spans="2:17">
      <c r="B34" t="s">
        <v>86</v>
      </c>
      <c r="C34" t="s">
        <v>235</v>
      </c>
      <c r="D34" t="s">
        <v>17</v>
      </c>
      <c r="E34" t="s">
        <v>105</v>
      </c>
      <c r="F34" t="s">
        <v>230</v>
      </c>
      <c r="G34">
        <v>70</v>
      </c>
      <c r="H34">
        <v>70</v>
      </c>
      <c r="I34">
        <v>145</v>
      </c>
      <c r="J34">
        <v>200</v>
      </c>
      <c r="K34">
        <v>15</v>
      </c>
      <c r="L34">
        <v>50</v>
      </c>
      <c r="M34" t="s">
        <v>169</v>
      </c>
      <c r="N34">
        <v>2</v>
      </c>
      <c r="P34">
        <v>4560</v>
      </c>
      <c r="Q34" t="s">
        <v>142</v>
      </c>
    </row>
    <row r="35" spans="2:17">
      <c r="B35" t="s">
        <v>87</v>
      </c>
      <c r="C35" t="s">
        <v>235</v>
      </c>
      <c r="D35" t="s">
        <v>17</v>
      </c>
      <c r="E35" t="s">
        <v>105</v>
      </c>
      <c r="F35" t="s">
        <v>230</v>
      </c>
      <c r="G35">
        <v>70</v>
      </c>
      <c r="H35">
        <v>70</v>
      </c>
      <c r="I35">
        <v>145</v>
      </c>
      <c r="J35">
        <v>1550</v>
      </c>
      <c r="K35">
        <v>15</v>
      </c>
      <c r="L35">
        <v>60</v>
      </c>
      <c r="M35" t="s">
        <v>169</v>
      </c>
      <c r="N35">
        <v>0.5</v>
      </c>
      <c r="P35">
        <v>4520</v>
      </c>
      <c r="Q35" t="s">
        <v>141</v>
      </c>
    </row>
    <row r="36" spans="2:17">
      <c r="B36" t="s">
        <v>97</v>
      </c>
      <c r="C36" t="s">
        <v>233</v>
      </c>
      <c r="D36" t="s">
        <v>17</v>
      </c>
      <c r="E36" t="s">
        <v>105</v>
      </c>
      <c r="F36" t="s">
        <v>230</v>
      </c>
      <c r="G36">
        <v>70</v>
      </c>
      <c r="H36">
        <v>70</v>
      </c>
      <c r="I36">
        <v>145</v>
      </c>
      <c r="J36">
        <v>350</v>
      </c>
      <c r="K36">
        <v>15</v>
      </c>
      <c r="L36">
        <v>60</v>
      </c>
      <c r="M36" t="s">
        <v>169</v>
      </c>
      <c r="N36">
        <v>1</v>
      </c>
      <c r="P36">
        <v>4520</v>
      </c>
      <c r="Q36" t="s">
        <v>141</v>
      </c>
    </row>
    <row r="37" spans="2:17">
      <c r="B37" t="s">
        <v>247</v>
      </c>
      <c r="C37" t="s">
        <v>233</v>
      </c>
      <c r="D37" t="s">
        <v>44</v>
      </c>
      <c r="E37" t="s">
        <v>105</v>
      </c>
      <c r="F37" t="s">
        <v>230</v>
      </c>
      <c r="G37">
        <v>70</v>
      </c>
      <c r="H37">
        <v>70</v>
      </c>
      <c r="I37">
        <v>145</v>
      </c>
      <c r="J37">
        <v>200</v>
      </c>
      <c r="K37">
        <v>15</v>
      </c>
      <c r="L37">
        <v>50</v>
      </c>
      <c r="M37" t="s">
        <v>169</v>
      </c>
      <c r="N37">
        <v>1</v>
      </c>
      <c r="P37">
        <v>5440</v>
      </c>
      <c r="Q37" t="s">
        <v>142</v>
      </c>
    </row>
    <row r="38" spans="2:17">
      <c r="B38" t="s">
        <v>98</v>
      </c>
      <c r="C38" t="s">
        <v>233</v>
      </c>
      <c r="D38" t="s">
        <v>17</v>
      </c>
      <c r="E38" t="s">
        <v>105</v>
      </c>
      <c r="F38" t="s">
        <v>239</v>
      </c>
      <c r="G38">
        <v>70</v>
      </c>
      <c r="H38">
        <v>70</v>
      </c>
      <c r="I38">
        <v>145</v>
      </c>
      <c r="J38">
        <v>50</v>
      </c>
      <c r="K38">
        <v>15</v>
      </c>
      <c r="L38">
        <v>60</v>
      </c>
      <c r="M38" t="s">
        <v>169</v>
      </c>
      <c r="N38">
        <v>1</v>
      </c>
      <c r="P38">
        <v>4520</v>
      </c>
      <c r="Q38" t="s">
        <v>141</v>
      </c>
    </row>
    <row r="39" spans="2:17">
      <c r="B39" t="s">
        <v>250</v>
      </c>
      <c r="C39" t="s">
        <v>235</v>
      </c>
      <c r="D39" t="s">
        <v>17</v>
      </c>
      <c r="E39" t="s">
        <v>105</v>
      </c>
      <c r="F39" t="s">
        <v>230</v>
      </c>
      <c r="G39">
        <v>70</v>
      </c>
      <c r="H39">
        <v>70</v>
      </c>
      <c r="I39">
        <v>145</v>
      </c>
      <c r="J39">
        <v>550</v>
      </c>
      <c r="K39">
        <v>15</v>
      </c>
      <c r="L39">
        <v>60</v>
      </c>
      <c r="M39" t="s">
        <v>169</v>
      </c>
      <c r="N39">
        <v>1</v>
      </c>
      <c r="P39">
        <v>4520</v>
      </c>
      <c r="Q39" t="s">
        <v>141</v>
      </c>
    </row>
    <row r="40" spans="2:17">
      <c r="B40" t="s">
        <v>99</v>
      </c>
      <c r="C40" t="s">
        <v>233</v>
      </c>
      <c r="D40" t="s">
        <v>17</v>
      </c>
      <c r="E40" t="s">
        <v>105</v>
      </c>
      <c r="F40" t="s">
        <v>230</v>
      </c>
      <c r="G40">
        <v>70</v>
      </c>
      <c r="H40">
        <v>70</v>
      </c>
      <c r="I40">
        <v>145</v>
      </c>
      <c r="J40">
        <v>550</v>
      </c>
      <c r="K40">
        <v>15</v>
      </c>
      <c r="L40">
        <v>60</v>
      </c>
      <c r="M40" t="s">
        <v>169</v>
      </c>
      <c r="N40">
        <v>2</v>
      </c>
      <c r="P40">
        <v>4520</v>
      </c>
      <c r="Q40" t="s">
        <v>141</v>
      </c>
    </row>
    <row r="41" spans="2:17">
      <c r="B41" t="s">
        <v>100</v>
      </c>
      <c r="C41" t="s">
        <v>233</v>
      </c>
      <c r="D41" t="s">
        <v>17</v>
      </c>
      <c r="E41" t="s">
        <v>105</v>
      </c>
      <c r="F41" t="s">
        <v>230</v>
      </c>
      <c r="G41">
        <v>70</v>
      </c>
      <c r="H41">
        <v>70</v>
      </c>
      <c r="I41">
        <v>145</v>
      </c>
      <c r="J41">
        <v>1500</v>
      </c>
      <c r="K41">
        <v>15</v>
      </c>
      <c r="L41">
        <v>60</v>
      </c>
      <c r="M41" t="s">
        <v>169</v>
      </c>
      <c r="N41">
        <v>2</v>
      </c>
      <c r="P41">
        <v>4520</v>
      </c>
      <c r="Q41" t="s">
        <v>141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E4531-7E3A-5340-909A-7C41C3123743}">
  <dimension ref="A1:S41"/>
  <sheetViews>
    <sheetView workbookViewId="0"/>
  </sheetViews>
  <sheetFormatPr baseColWidth="10" defaultRowHeight="15"/>
  <sheetData>
    <row r="1" spans="1:19">
      <c r="G1" t="s">
        <v>173</v>
      </c>
      <c r="M1" t="s">
        <v>172</v>
      </c>
    </row>
    <row r="2" spans="1:19" ht="32">
      <c r="B2" t="s">
        <v>1</v>
      </c>
      <c r="C2" t="s">
        <v>2</v>
      </c>
      <c r="D2" t="s">
        <v>3</v>
      </c>
      <c r="E2" t="s">
        <v>4</v>
      </c>
      <c r="F2" t="s">
        <v>190</v>
      </c>
      <c r="G2" s="63" t="s">
        <v>7</v>
      </c>
      <c r="H2" t="s">
        <v>8</v>
      </c>
      <c r="I2" t="s">
        <v>9</v>
      </c>
      <c r="J2" t="s">
        <v>10</v>
      </c>
      <c r="K2" t="s">
        <v>11</v>
      </c>
      <c r="L2" t="s">
        <v>12</v>
      </c>
      <c r="M2" t="s">
        <v>171</v>
      </c>
      <c r="N2" t="s">
        <v>311</v>
      </c>
      <c r="O2" t="s">
        <v>295</v>
      </c>
      <c r="P2" t="s">
        <v>312</v>
      </c>
      <c r="Q2" t="s">
        <v>313</v>
      </c>
      <c r="R2" t="s">
        <v>298</v>
      </c>
      <c r="S2" t="s">
        <v>299</v>
      </c>
    </row>
    <row r="3" spans="1:19" ht="380">
      <c r="A3" t="s">
        <v>193</v>
      </c>
      <c r="B3" t="s">
        <v>15</v>
      </c>
      <c r="C3" t="s">
        <v>70</v>
      </c>
      <c r="D3" t="s">
        <v>17</v>
      </c>
      <c r="E3" t="s">
        <v>31</v>
      </c>
      <c r="F3" t="s">
        <v>194</v>
      </c>
      <c r="G3">
        <v>70</v>
      </c>
      <c r="H3">
        <v>70</v>
      </c>
      <c r="I3">
        <v>140</v>
      </c>
      <c r="J3">
        <v>400</v>
      </c>
      <c r="K3">
        <v>10</v>
      </c>
      <c r="L3">
        <v>70</v>
      </c>
      <c r="M3">
        <v>950</v>
      </c>
      <c r="N3">
        <v>16</v>
      </c>
      <c r="O3" t="s">
        <v>151</v>
      </c>
      <c r="P3">
        <v>3330</v>
      </c>
      <c r="Q3" t="s">
        <v>212</v>
      </c>
      <c r="R3" s="63" t="s">
        <v>314</v>
      </c>
      <c r="S3" t="s">
        <v>301</v>
      </c>
    </row>
    <row r="4" spans="1:19">
      <c r="B4" t="s">
        <v>128</v>
      </c>
      <c r="C4" t="s">
        <v>70</v>
      </c>
      <c r="D4" t="s">
        <v>17</v>
      </c>
      <c r="E4" t="s">
        <v>31</v>
      </c>
      <c r="F4" t="s">
        <v>199</v>
      </c>
      <c r="G4">
        <v>70</v>
      </c>
      <c r="H4">
        <v>70</v>
      </c>
      <c r="I4">
        <v>170</v>
      </c>
      <c r="J4">
        <v>250</v>
      </c>
      <c r="K4">
        <v>50</v>
      </c>
      <c r="L4">
        <v>50</v>
      </c>
      <c r="M4">
        <v>950</v>
      </c>
      <c r="N4">
        <v>4</v>
      </c>
      <c r="O4" t="s">
        <v>152</v>
      </c>
      <c r="P4">
        <v>4171</v>
      </c>
      <c r="Q4" t="s">
        <v>212</v>
      </c>
    </row>
    <row r="6" spans="1:19" ht="208">
      <c r="A6" t="s">
        <v>202</v>
      </c>
      <c r="B6" t="s">
        <v>15</v>
      </c>
      <c r="C6" t="s">
        <v>16</v>
      </c>
      <c r="D6" t="s">
        <v>17</v>
      </c>
      <c r="E6" t="s">
        <v>18</v>
      </c>
      <c r="F6" t="s">
        <v>199</v>
      </c>
      <c r="G6">
        <v>70</v>
      </c>
      <c r="H6">
        <v>70</v>
      </c>
      <c r="I6">
        <v>140</v>
      </c>
      <c r="J6">
        <v>400</v>
      </c>
      <c r="K6">
        <v>10</v>
      </c>
      <c r="L6">
        <v>70</v>
      </c>
      <c r="M6">
        <v>2685</v>
      </c>
      <c r="N6">
        <v>2</v>
      </c>
      <c r="O6" t="s">
        <v>151</v>
      </c>
      <c r="P6">
        <v>2390</v>
      </c>
      <c r="Q6" t="s">
        <v>142</v>
      </c>
      <c r="R6" s="63" t="s">
        <v>203</v>
      </c>
    </row>
    <row r="7" spans="1:19" ht="112">
      <c r="B7" s="63" t="s">
        <v>21</v>
      </c>
      <c r="C7" t="s">
        <v>22</v>
      </c>
      <c r="D7" t="s">
        <v>17</v>
      </c>
      <c r="E7" t="s">
        <v>23</v>
      </c>
      <c r="F7" t="s">
        <v>199</v>
      </c>
      <c r="G7">
        <v>70</v>
      </c>
      <c r="H7">
        <v>70</v>
      </c>
      <c r="I7">
        <v>140</v>
      </c>
      <c r="J7">
        <v>250</v>
      </c>
      <c r="K7">
        <v>10</v>
      </c>
      <c r="L7">
        <v>70</v>
      </c>
      <c r="M7">
        <v>885</v>
      </c>
      <c r="N7">
        <v>2</v>
      </c>
      <c r="P7">
        <v>3640</v>
      </c>
      <c r="Q7" t="s">
        <v>142</v>
      </c>
    </row>
    <row r="8" spans="1:19" ht="144">
      <c r="A8" t="s">
        <v>206</v>
      </c>
      <c r="B8" t="s">
        <v>24</v>
      </c>
      <c r="C8" s="63" t="s">
        <v>25</v>
      </c>
      <c r="D8" t="s">
        <v>26</v>
      </c>
      <c r="E8" t="s">
        <v>27</v>
      </c>
      <c r="F8" t="s">
        <v>194</v>
      </c>
      <c r="G8">
        <v>70</v>
      </c>
      <c r="H8">
        <v>70</v>
      </c>
      <c r="I8">
        <v>140</v>
      </c>
      <c r="J8">
        <v>300</v>
      </c>
      <c r="K8">
        <v>30</v>
      </c>
      <c r="L8">
        <v>70</v>
      </c>
      <c r="M8">
        <v>2785</v>
      </c>
      <c r="N8">
        <v>4</v>
      </c>
      <c r="O8" t="s">
        <v>151</v>
      </c>
      <c r="P8">
        <v>2140</v>
      </c>
      <c r="Q8" t="s">
        <v>141</v>
      </c>
      <c r="R8" t="s">
        <v>170</v>
      </c>
      <c r="S8" t="s">
        <v>304</v>
      </c>
    </row>
    <row r="9" spans="1:19" ht="144">
      <c r="B9" t="s">
        <v>28</v>
      </c>
      <c r="C9" s="63" t="s">
        <v>25</v>
      </c>
      <c r="D9" t="s">
        <v>29</v>
      </c>
      <c r="E9" t="s">
        <v>27</v>
      </c>
      <c r="F9" t="s">
        <v>194</v>
      </c>
      <c r="G9">
        <v>70</v>
      </c>
      <c r="H9">
        <v>80</v>
      </c>
      <c r="I9">
        <v>160</v>
      </c>
      <c r="J9">
        <v>1000</v>
      </c>
      <c r="K9">
        <v>50</v>
      </c>
      <c r="L9">
        <v>75</v>
      </c>
      <c r="M9">
        <v>2785</v>
      </c>
      <c r="N9">
        <v>3</v>
      </c>
      <c r="O9" t="s">
        <v>208</v>
      </c>
      <c r="P9">
        <v>2490</v>
      </c>
      <c r="Q9" t="s">
        <v>141</v>
      </c>
    </row>
    <row r="10" spans="1:19" ht="144">
      <c r="B10" t="s">
        <v>15</v>
      </c>
      <c r="C10" s="63" t="s">
        <v>25</v>
      </c>
      <c r="D10" t="s">
        <v>17</v>
      </c>
      <c r="E10" t="s">
        <v>27</v>
      </c>
      <c r="F10" t="s">
        <v>194</v>
      </c>
      <c r="G10">
        <v>70</v>
      </c>
      <c r="H10">
        <v>70</v>
      </c>
      <c r="I10">
        <v>140</v>
      </c>
      <c r="J10">
        <v>400</v>
      </c>
      <c r="K10">
        <v>10</v>
      </c>
      <c r="L10">
        <v>70</v>
      </c>
      <c r="M10">
        <v>2785</v>
      </c>
      <c r="N10">
        <v>3</v>
      </c>
      <c r="O10" t="s">
        <v>210</v>
      </c>
      <c r="P10">
        <v>2247</v>
      </c>
      <c r="Q10" t="s">
        <v>141</v>
      </c>
    </row>
    <row r="12" spans="1:19" ht="240">
      <c r="A12" t="s">
        <v>305</v>
      </c>
      <c r="B12" t="s">
        <v>33</v>
      </c>
      <c r="C12" s="63" t="s">
        <v>34</v>
      </c>
      <c r="D12" t="s">
        <v>17</v>
      </c>
      <c r="E12" t="s">
        <v>79</v>
      </c>
      <c r="F12" t="s">
        <v>199</v>
      </c>
      <c r="G12">
        <v>70</v>
      </c>
      <c r="H12">
        <v>70</v>
      </c>
      <c r="I12">
        <v>140</v>
      </c>
      <c r="J12">
        <v>400</v>
      </c>
      <c r="K12">
        <v>10</v>
      </c>
      <c r="L12">
        <v>70</v>
      </c>
      <c r="M12">
        <v>2200</v>
      </c>
      <c r="N12">
        <v>1</v>
      </c>
      <c r="O12" t="s">
        <v>153</v>
      </c>
      <c r="P12">
        <v>2200</v>
      </c>
      <c r="Q12" t="s">
        <v>212</v>
      </c>
      <c r="R12" s="63" t="s">
        <v>213</v>
      </c>
      <c r="S12" t="s">
        <v>315</v>
      </c>
    </row>
    <row r="13" spans="1:19" ht="192">
      <c r="B13" t="s">
        <v>64</v>
      </c>
      <c r="C13" s="63" t="s">
        <v>34</v>
      </c>
      <c r="D13" t="s">
        <v>29</v>
      </c>
      <c r="E13" t="s">
        <v>79</v>
      </c>
      <c r="F13" t="s">
        <v>199</v>
      </c>
      <c r="G13">
        <v>70</v>
      </c>
      <c r="H13">
        <v>70</v>
      </c>
      <c r="I13">
        <v>140</v>
      </c>
      <c r="J13">
        <v>300</v>
      </c>
      <c r="K13">
        <v>250</v>
      </c>
      <c r="L13">
        <v>70</v>
      </c>
      <c r="M13">
        <v>2200</v>
      </c>
      <c r="N13">
        <v>2</v>
      </c>
      <c r="O13" t="s">
        <v>151</v>
      </c>
      <c r="P13">
        <v>1900</v>
      </c>
      <c r="Q13" t="s">
        <v>212</v>
      </c>
    </row>
    <row r="14" spans="1:19" ht="192">
      <c r="B14" t="s">
        <v>74</v>
      </c>
      <c r="C14" s="63" t="s">
        <v>34</v>
      </c>
      <c r="D14" t="s">
        <v>56</v>
      </c>
      <c r="E14" t="s">
        <v>79</v>
      </c>
      <c r="F14" t="s">
        <v>199</v>
      </c>
      <c r="G14">
        <v>70</v>
      </c>
      <c r="H14">
        <v>70</v>
      </c>
      <c r="I14">
        <v>140</v>
      </c>
      <c r="J14">
        <v>300</v>
      </c>
      <c r="K14">
        <v>250</v>
      </c>
      <c r="L14">
        <v>70</v>
      </c>
      <c r="M14">
        <v>2200</v>
      </c>
      <c r="N14">
        <v>0.5</v>
      </c>
      <c r="O14" t="s">
        <v>154</v>
      </c>
      <c r="P14">
        <v>2690</v>
      </c>
      <c r="Q14" t="s">
        <v>142</v>
      </c>
    </row>
    <row r="16" spans="1:19" ht="160">
      <c r="A16" t="s">
        <v>40</v>
      </c>
      <c r="B16" t="s">
        <v>37</v>
      </c>
      <c r="C16" t="s">
        <v>38</v>
      </c>
      <c r="D16" t="s">
        <v>17</v>
      </c>
      <c r="E16" t="s">
        <v>39</v>
      </c>
      <c r="F16" t="s">
        <v>199</v>
      </c>
      <c r="G16">
        <v>70</v>
      </c>
      <c r="H16">
        <v>70</v>
      </c>
      <c r="I16">
        <v>140</v>
      </c>
      <c r="J16">
        <v>250</v>
      </c>
      <c r="K16">
        <v>10</v>
      </c>
      <c r="L16">
        <v>70</v>
      </c>
      <c r="M16">
        <v>800</v>
      </c>
      <c r="N16">
        <v>1</v>
      </c>
      <c r="O16" t="s">
        <v>155</v>
      </c>
      <c r="P16">
        <v>1140</v>
      </c>
      <c r="Q16" t="s">
        <v>142</v>
      </c>
      <c r="R16" s="63" t="s">
        <v>217</v>
      </c>
      <c r="S16" t="s">
        <v>315</v>
      </c>
    </row>
    <row r="17" spans="1:19" ht="256">
      <c r="B17" t="s">
        <v>41</v>
      </c>
      <c r="C17" s="63" t="s">
        <v>42</v>
      </c>
      <c r="D17" t="s">
        <v>17</v>
      </c>
      <c r="E17" t="s">
        <v>39</v>
      </c>
      <c r="F17" t="s">
        <v>199</v>
      </c>
      <c r="G17">
        <v>70</v>
      </c>
      <c r="H17">
        <v>70</v>
      </c>
      <c r="I17">
        <v>140</v>
      </c>
      <c r="J17">
        <v>250</v>
      </c>
      <c r="K17">
        <v>10</v>
      </c>
      <c r="L17">
        <v>70</v>
      </c>
      <c r="M17">
        <v>800</v>
      </c>
      <c r="N17">
        <v>3</v>
      </c>
      <c r="O17" t="s">
        <v>155</v>
      </c>
      <c r="P17">
        <v>1140</v>
      </c>
      <c r="Q17" t="s">
        <v>142</v>
      </c>
    </row>
    <row r="18" spans="1:19">
      <c r="B18" t="s">
        <v>43</v>
      </c>
      <c r="C18" t="s">
        <v>38</v>
      </c>
      <c r="D18" t="s">
        <v>44</v>
      </c>
      <c r="E18" t="s">
        <v>39</v>
      </c>
      <c r="F18" t="s">
        <v>199</v>
      </c>
      <c r="G18">
        <v>70</v>
      </c>
      <c r="H18">
        <v>70</v>
      </c>
      <c r="I18">
        <v>140</v>
      </c>
      <c r="J18">
        <v>420</v>
      </c>
      <c r="K18">
        <v>30</v>
      </c>
      <c r="L18">
        <v>70</v>
      </c>
      <c r="M18">
        <v>800</v>
      </c>
      <c r="N18">
        <v>0.5</v>
      </c>
      <c r="O18" t="s">
        <v>219</v>
      </c>
      <c r="P18">
        <v>1340</v>
      </c>
      <c r="Q18" t="s">
        <v>142</v>
      </c>
    </row>
    <row r="19" spans="1:19" ht="256">
      <c r="B19" t="s">
        <v>45</v>
      </c>
      <c r="C19" s="63" t="s">
        <v>42</v>
      </c>
      <c r="D19" t="s">
        <v>46</v>
      </c>
      <c r="E19" t="s">
        <v>39</v>
      </c>
      <c r="F19" t="s">
        <v>199</v>
      </c>
      <c r="G19">
        <v>70</v>
      </c>
      <c r="H19">
        <v>70</v>
      </c>
      <c r="I19">
        <v>140</v>
      </c>
      <c r="J19">
        <v>420</v>
      </c>
      <c r="K19">
        <v>30</v>
      </c>
      <c r="L19">
        <v>70</v>
      </c>
      <c r="M19">
        <v>800</v>
      </c>
      <c r="N19">
        <v>0.5</v>
      </c>
      <c r="O19" t="s">
        <v>222</v>
      </c>
      <c r="P19" t="s">
        <v>119</v>
      </c>
    </row>
    <row r="20" spans="1:19" ht="256">
      <c r="B20" s="63" t="s">
        <v>42</v>
      </c>
      <c r="C20" s="63" t="s">
        <v>34</v>
      </c>
      <c r="D20" t="s">
        <v>39</v>
      </c>
      <c r="E20" t="s">
        <v>79</v>
      </c>
      <c r="F20" t="s">
        <v>224</v>
      </c>
      <c r="G20">
        <v>70</v>
      </c>
      <c r="H20">
        <v>70</v>
      </c>
      <c r="I20">
        <v>140</v>
      </c>
      <c r="J20">
        <v>300</v>
      </c>
      <c r="K20">
        <v>30</v>
      </c>
      <c r="L20">
        <v>70</v>
      </c>
      <c r="M20">
        <v>2200</v>
      </c>
      <c r="N20">
        <v>6</v>
      </c>
      <c r="O20" t="s">
        <v>154</v>
      </c>
      <c r="P20">
        <v>3490</v>
      </c>
      <c r="Q20" t="s">
        <v>142</v>
      </c>
    </row>
    <row r="22" spans="1:19" ht="409.6">
      <c r="A22" t="s">
        <v>48</v>
      </c>
      <c r="B22" s="63" t="s">
        <v>47</v>
      </c>
      <c r="C22" t="s">
        <v>15</v>
      </c>
      <c r="D22" t="s">
        <v>56</v>
      </c>
      <c r="E22" t="s">
        <v>17</v>
      </c>
      <c r="F22" t="s">
        <v>199</v>
      </c>
      <c r="G22">
        <v>70</v>
      </c>
      <c r="H22">
        <v>50</v>
      </c>
      <c r="I22">
        <v>260</v>
      </c>
      <c r="J22">
        <v>325</v>
      </c>
      <c r="K22">
        <v>90</v>
      </c>
      <c r="L22">
        <v>80</v>
      </c>
      <c r="M22">
        <v>600</v>
      </c>
      <c r="N22">
        <v>2</v>
      </c>
      <c r="O22" t="s">
        <v>155</v>
      </c>
      <c r="P22">
        <v>1</v>
      </c>
      <c r="Q22" t="s">
        <v>131</v>
      </c>
      <c r="R22" s="63" t="s">
        <v>316</v>
      </c>
    </row>
    <row r="23" spans="1:19" ht="144">
      <c r="B23" s="63" t="s">
        <v>49</v>
      </c>
      <c r="C23" t="s">
        <v>15</v>
      </c>
      <c r="D23" t="s">
        <v>227</v>
      </c>
      <c r="E23" t="s">
        <v>17</v>
      </c>
      <c r="F23" t="s">
        <v>199</v>
      </c>
      <c r="G23">
        <v>70</v>
      </c>
      <c r="H23">
        <v>35</v>
      </c>
      <c r="I23">
        <v>145</v>
      </c>
      <c r="J23">
        <v>350</v>
      </c>
      <c r="K23">
        <v>150</v>
      </c>
      <c r="L23">
        <v>50</v>
      </c>
      <c r="M23">
        <v>600</v>
      </c>
      <c r="N23">
        <v>1</v>
      </c>
      <c r="O23" t="s">
        <v>156</v>
      </c>
      <c r="P23">
        <v>1</v>
      </c>
      <c r="Q23" t="s">
        <v>131</v>
      </c>
    </row>
    <row r="24" spans="1:19">
      <c r="O24" t="s">
        <v>317</v>
      </c>
      <c r="P24" t="s">
        <v>312</v>
      </c>
    </row>
    <row r="25" spans="1:19">
      <c r="A25" t="s">
        <v>53</v>
      </c>
      <c r="B25" t="s">
        <v>40</v>
      </c>
      <c r="C25" t="s">
        <v>229</v>
      </c>
      <c r="D25" t="s">
        <v>39</v>
      </c>
      <c r="E25" t="s">
        <v>105</v>
      </c>
      <c r="F25" t="s">
        <v>230</v>
      </c>
      <c r="G25">
        <v>70</v>
      </c>
      <c r="H25">
        <v>50</v>
      </c>
      <c r="I25">
        <v>260</v>
      </c>
      <c r="J25">
        <v>250</v>
      </c>
      <c r="K25">
        <v>90</v>
      </c>
      <c r="L25">
        <v>80</v>
      </c>
      <c r="M25" t="s">
        <v>169</v>
      </c>
      <c r="N25">
        <v>9</v>
      </c>
      <c r="O25" t="s">
        <v>318</v>
      </c>
      <c r="P25">
        <v>1940</v>
      </c>
      <c r="Q25" t="s">
        <v>142</v>
      </c>
      <c r="R25" s="63" t="s">
        <v>319</v>
      </c>
      <c r="S25" t="s">
        <v>310</v>
      </c>
    </row>
    <row r="26" spans="1:19">
      <c r="B26" t="s">
        <v>101</v>
      </c>
      <c r="C26" t="s">
        <v>233</v>
      </c>
      <c r="D26" t="s">
        <v>56</v>
      </c>
      <c r="E26" t="s">
        <v>105</v>
      </c>
      <c r="F26" t="s">
        <v>230</v>
      </c>
      <c r="G26">
        <v>70</v>
      </c>
      <c r="H26">
        <v>50</v>
      </c>
      <c r="I26">
        <v>260</v>
      </c>
      <c r="J26">
        <v>325</v>
      </c>
      <c r="K26">
        <v>90</v>
      </c>
      <c r="L26">
        <v>80</v>
      </c>
      <c r="M26" t="s">
        <v>169</v>
      </c>
      <c r="N26">
        <v>2</v>
      </c>
      <c r="P26">
        <v>1940</v>
      </c>
      <c r="Q26" t="s">
        <v>142</v>
      </c>
    </row>
    <row r="27" spans="1:19">
      <c r="B27" t="s">
        <v>94</v>
      </c>
      <c r="C27" t="s">
        <v>235</v>
      </c>
      <c r="D27" t="s">
        <v>39</v>
      </c>
      <c r="E27" t="s">
        <v>105</v>
      </c>
      <c r="F27" t="s">
        <v>230</v>
      </c>
      <c r="G27">
        <v>70</v>
      </c>
      <c r="H27">
        <v>50</v>
      </c>
      <c r="I27">
        <v>260</v>
      </c>
      <c r="J27">
        <v>250</v>
      </c>
      <c r="K27">
        <v>90</v>
      </c>
      <c r="L27">
        <v>80</v>
      </c>
      <c r="M27" t="s">
        <v>169</v>
      </c>
      <c r="N27">
        <v>1</v>
      </c>
      <c r="P27">
        <v>1940</v>
      </c>
      <c r="Q27" t="s">
        <v>142</v>
      </c>
    </row>
    <row r="28" spans="1:19">
      <c r="B28" t="s">
        <v>102</v>
      </c>
      <c r="C28" t="s">
        <v>233</v>
      </c>
      <c r="D28" t="s">
        <v>29</v>
      </c>
      <c r="E28" t="s">
        <v>105</v>
      </c>
      <c r="F28" t="s">
        <v>230</v>
      </c>
      <c r="G28">
        <v>70</v>
      </c>
      <c r="H28">
        <v>80</v>
      </c>
      <c r="I28">
        <v>160</v>
      </c>
      <c r="J28">
        <v>1000</v>
      </c>
      <c r="K28">
        <v>50</v>
      </c>
      <c r="L28">
        <v>75</v>
      </c>
      <c r="M28" t="s">
        <v>169</v>
      </c>
      <c r="N28">
        <v>2</v>
      </c>
      <c r="O28" t="s">
        <v>266</v>
      </c>
      <c r="P28">
        <v>2800</v>
      </c>
      <c r="Q28" t="s">
        <v>142</v>
      </c>
    </row>
    <row r="29" spans="1:19">
      <c r="B29" t="s">
        <v>103</v>
      </c>
      <c r="C29" t="s">
        <v>233</v>
      </c>
      <c r="D29" t="s">
        <v>227</v>
      </c>
      <c r="E29" t="s">
        <v>105</v>
      </c>
      <c r="F29" t="s">
        <v>230</v>
      </c>
      <c r="G29">
        <v>70</v>
      </c>
      <c r="H29">
        <v>35</v>
      </c>
      <c r="I29">
        <v>145</v>
      </c>
      <c r="J29">
        <v>350</v>
      </c>
      <c r="K29">
        <v>150</v>
      </c>
      <c r="L29">
        <v>50</v>
      </c>
      <c r="M29" t="s">
        <v>169</v>
      </c>
      <c r="N29">
        <v>1</v>
      </c>
      <c r="O29" t="s">
        <v>267</v>
      </c>
      <c r="P29">
        <v>2340</v>
      </c>
      <c r="Q29" t="s">
        <v>142</v>
      </c>
    </row>
    <row r="30" spans="1:19">
      <c r="B30" t="s">
        <v>82</v>
      </c>
      <c r="C30" t="s">
        <v>235</v>
      </c>
      <c r="D30" t="s">
        <v>17</v>
      </c>
      <c r="E30" t="s">
        <v>105</v>
      </c>
      <c r="F30" t="s">
        <v>239</v>
      </c>
      <c r="G30">
        <v>70</v>
      </c>
      <c r="H30">
        <v>70</v>
      </c>
      <c r="I30">
        <v>145</v>
      </c>
      <c r="J30">
        <v>550</v>
      </c>
      <c r="K30">
        <v>15</v>
      </c>
      <c r="L30">
        <v>60</v>
      </c>
      <c r="M30" t="s">
        <v>169</v>
      </c>
      <c r="N30">
        <v>2</v>
      </c>
      <c r="O30" t="s">
        <v>219</v>
      </c>
      <c r="P30">
        <v>1840</v>
      </c>
      <c r="Q30" t="s">
        <v>142</v>
      </c>
    </row>
    <row r="31" spans="1:19">
      <c r="B31" t="s">
        <v>83</v>
      </c>
      <c r="C31" t="s">
        <v>235</v>
      </c>
      <c r="D31" t="s">
        <v>17</v>
      </c>
      <c r="E31" t="s">
        <v>105</v>
      </c>
      <c r="F31" t="s">
        <v>230</v>
      </c>
      <c r="G31">
        <v>70</v>
      </c>
      <c r="H31">
        <v>70</v>
      </c>
      <c r="I31">
        <v>145</v>
      </c>
      <c r="J31">
        <v>550</v>
      </c>
      <c r="K31">
        <v>15</v>
      </c>
      <c r="L31">
        <v>60</v>
      </c>
      <c r="M31" t="s">
        <v>169</v>
      </c>
      <c r="N31">
        <v>1</v>
      </c>
      <c r="P31">
        <v>1840</v>
      </c>
      <c r="Q31" t="s">
        <v>142</v>
      </c>
    </row>
    <row r="32" spans="1:19">
      <c r="B32" t="s">
        <v>84</v>
      </c>
      <c r="C32" t="s">
        <v>235</v>
      </c>
      <c r="D32" t="s">
        <v>17</v>
      </c>
      <c r="E32" t="s">
        <v>105</v>
      </c>
      <c r="F32" t="s">
        <v>230</v>
      </c>
      <c r="G32">
        <v>70</v>
      </c>
      <c r="H32">
        <v>70</v>
      </c>
      <c r="I32">
        <v>145</v>
      </c>
      <c r="J32">
        <v>550</v>
      </c>
      <c r="K32">
        <v>15</v>
      </c>
      <c r="L32">
        <v>60</v>
      </c>
      <c r="M32" t="s">
        <v>169</v>
      </c>
      <c r="N32">
        <v>0.5</v>
      </c>
      <c r="P32">
        <v>1840</v>
      </c>
      <c r="Q32" t="s">
        <v>142</v>
      </c>
    </row>
    <row r="33" spans="2:17">
      <c r="B33" t="s">
        <v>85</v>
      </c>
      <c r="C33" t="s">
        <v>235</v>
      </c>
      <c r="D33" t="s">
        <v>17</v>
      </c>
      <c r="E33" t="s">
        <v>105</v>
      </c>
      <c r="F33" t="s">
        <v>230</v>
      </c>
      <c r="G33">
        <v>70</v>
      </c>
      <c r="H33">
        <v>70</v>
      </c>
      <c r="I33">
        <v>145</v>
      </c>
      <c r="J33">
        <v>250</v>
      </c>
      <c r="K33">
        <v>15</v>
      </c>
      <c r="L33">
        <v>60</v>
      </c>
      <c r="M33" t="s">
        <v>169</v>
      </c>
      <c r="N33">
        <v>2</v>
      </c>
      <c r="P33">
        <v>1840</v>
      </c>
      <c r="Q33" t="s">
        <v>142</v>
      </c>
    </row>
    <row r="34" spans="2:17">
      <c r="B34" t="s">
        <v>86</v>
      </c>
      <c r="C34" t="s">
        <v>235</v>
      </c>
      <c r="D34" t="s">
        <v>17</v>
      </c>
      <c r="E34" t="s">
        <v>105</v>
      </c>
      <c r="F34" t="s">
        <v>230</v>
      </c>
      <c r="G34">
        <v>70</v>
      </c>
      <c r="H34">
        <v>70</v>
      </c>
      <c r="I34">
        <v>145</v>
      </c>
      <c r="J34">
        <v>200</v>
      </c>
      <c r="K34">
        <v>15</v>
      </c>
      <c r="L34">
        <v>50</v>
      </c>
      <c r="M34" t="s">
        <v>169</v>
      </c>
      <c r="N34">
        <v>2</v>
      </c>
      <c r="P34">
        <v>1840</v>
      </c>
      <c r="Q34" t="s">
        <v>142</v>
      </c>
    </row>
    <row r="35" spans="2:17">
      <c r="B35" t="s">
        <v>87</v>
      </c>
      <c r="C35" t="s">
        <v>235</v>
      </c>
      <c r="D35" t="s">
        <v>17</v>
      </c>
      <c r="E35" t="s">
        <v>105</v>
      </c>
      <c r="F35" t="s">
        <v>230</v>
      </c>
      <c r="G35">
        <v>70</v>
      </c>
      <c r="H35">
        <v>70</v>
      </c>
      <c r="I35">
        <v>145</v>
      </c>
      <c r="J35">
        <v>1550</v>
      </c>
      <c r="K35">
        <v>15</v>
      </c>
      <c r="L35">
        <v>60</v>
      </c>
      <c r="M35" t="s">
        <v>169</v>
      </c>
      <c r="N35">
        <v>0.5</v>
      </c>
      <c r="P35">
        <v>1840</v>
      </c>
      <c r="Q35" t="s">
        <v>142</v>
      </c>
    </row>
    <row r="36" spans="2:17">
      <c r="B36" t="s">
        <v>97</v>
      </c>
      <c r="C36" t="s">
        <v>233</v>
      </c>
      <c r="D36" t="s">
        <v>17</v>
      </c>
      <c r="E36" t="s">
        <v>105</v>
      </c>
      <c r="F36" t="s">
        <v>230</v>
      </c>
      <c r="G36">
        <v>70</v>
      </c>
      <c r="H36">
        <v>70</v>
      </c>
      <c r="I36">
        <v>145</v>
      </c>
      <c r="J36">
        <v>350</v>
      </c>
      <c r="K36">
        <v>15</v>
      </c>
      <c r="L36">
        <v>60</v>
      </c>
      <c r="M36" t="s">
        <v>169</v>
      </c>
      <c r="N36">
        <v>1</v>
      </c>
      <c r="P36">
        <v>1840</v>
      </c>
      <c r="Q36" t="s">
        <v>142</v>
      </c>
    </row>
    <row r="37" spans="2:17">
      <c r="B37" t="s">
        <v>247</v>
      </c>
      <c r="C37" t="s">
        <v>233</v>
      </c>
      <c r="D37" t="s">
        <v>44</v>
      </c>
      <c r="E37" t="s">
        <v>105</v>
      </c>
      <c r="F37" t="s">
        <v>230</v>
      </c>
      <c r="G37">
        <v>70</v>
      </c>
      <c r="H37">
        <v>70</v>
      </c>
      <c r="I37">
        <v>145</v>
      </c>
      <c r="J37">
        <v>200</v>
      </c>
      <c r="K37">
        <v>15</v>
      </c>
      <c r="L37">
        <v>50</v>
      </c>
      <c r="M37" t="s">
        <v>169</v>
      </c>
      <c r="N37">
        <v>1</v>
      </c>
      <c r="P37">
        <v>2150</v>
      </c>
      <c r="Q37" t="s">
        <v>142</v>
      </c>
    </row>
    <row r="38" spans="2:17">
      <c r="B38" t="s">
        <v>98</v>
      </c>
      <c r="C38" t="s">
        <v>233</v>
      </c>
      <c r="D38" t="s">
        <v>17</v>
      </c>
      <c r="E38" t="s">
        <v>105</v>
      </c>
      <c r="F38" t="s">
        <v>239</v>
      </c>
      <c r="G38">
        <v>70</v>
      </c>
      <c r="H38">
        <v>70</v>
      </c>
      <c r="I38">
        <v>145</v>
      </c>
      <c r="J38">
        <v>50</v>
      </c>
      <c r="K38">
        <v>15</v>
      </c>
      <c r="L38">
        <v>60</v>
      </c>
      <c r="M38" t="s">
        <v>169</v>
      </c>
      <c r="N38">
        <v>1</v>
      </c>
      <c r="P38">
        <v>1840</v>
      </c>
      <c r="Q38" t="s">
        <v>142</v>
      </c>
    </row>
    <row r="39" spans="2:17">
      <c r="B39" t="s">
        <v>250</v>
      </c>
      <c r="C39" t="s">
        <v>235</v>
      </c>
      <c r="D39" t="s">
        <v>17</v>
      </c>
      <c r="E39" t="s">
        <v>105</v>
      </c>
      <c r="F39" t="s">
        <v>230</v>
      </c>
      <c r="G39">
        <v>70</v>
      </c>
      <c r="H39">
        <v>70</v>
      </c>
      <c r="I39">
        <v>145</v>
      </c>
      <c r="J39">
        <v>550</v>
      </c>
      <c r="K39">
        <v>15</v>
      </c>
      <c r="L39">
        <v>60</v>
      </c>
      <c r="M39" t="s">
        <v>169</v>
      </c>
      <c r="N39">
        <v>1</v>
      </c>
      <c r="P39">
        <v>1840</v>
      </c>
      <c r="Q39" t="s">
        <v>142</v>
      </c>
    </row>
    <row r="40" spans="2:17">
      <c r="B40" t="s">
        <v>99</v>
      </c>
      <c r="C40" t="s">
        <v>233</v>
      </c>
      <c r="D40" t="s">
        <v>17</v>
      </c>
      <c r="E40" t="s">
        <v>105</v>
      </c>
      <c r="F40" t="s">
        <v>230</v>
      </c>
      <c r="G40">
        <v>70</v>
      </c>
      <c r="H40">
        <v>70</v>
      </c>
      <c r="I40">
        <v>145</v>
      </c>
      <c r="J40">
        <v>550</v>
      </c>
      <c r="K40">
        <v>15</v>
      </c>
      <c r="L40">
        <v>60</v>
      </c>
      <c r="M40" t="s">
        <v>169</v>
      </c>
      <c r="N40">
        <v>2</v>
      </c>
      <c r="P40">
        <v>1840</v>
      </c>
      <c r="Q40" t="s">
        <v>142</v>
      </c>
    </row>
    <row r="41" spans="2:17">
      <c r="B41" t="s">
        <v>100</v>
      </c>
      <c r="C41" t="s">
        <v>233</v>
      </c>
      <c r="D41" t="s">
        <v>17</v>
      </c>
      <c r="E41" t="s">
        <v>105</v>
      </c>
      <c r="F41" t="s">
        <v>230</v>
      </c>
      <c r="G41">
        <v>70</v>
      </c>
      <c r="H41">
        <v>70</v>
      </c>
      <c r="I41">
        <v>145</v>
      </c>
      <c r="J41">
        <v>1500</v>
      </c>
      <c r="K41">
        <v>15</v>
      </c>
      <c r="L41">
        <v>60</v>
      </c>
      <c r="M41" t="s">
        <v>169</v>
      </c>
      <c r="N41">
        <v>2</v>
      </c>
      <c r="P41">
        <v>1840</v>
      </c>
      <c r="Q41" t="s">
        <v>142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9B50B-5C6A-D547-8819-97E456C9E9B0}">
  <dimension ref="A1:S1"/>
  <sheetViews>
    <sheetView workbookViewId="0"/>
  </sheetViews>
  <sheetFormatPr baseColWidth="10" defaultRowHeight="15"/>
  <sheetData>
    <row r="1" spans="1:19">
      <c r="A1" t="s">
        <v>253</v>
      </c>
      <c r="B1" t="s">
        <v>1</v>
      </c>
      <c r="C1" t="s">
        <v>2</v>
      </c>
      <c r="D1" t="s">
        <v>254</v>
      </c>
      <c r="E1" t="s">
        <v>255</v>
      </c>
      <c r="F1" t="s">
        <v>190</v>
      </c>
      <c r="G1" t="s">
        <v>191</v>
      </c>
      <c r="H1" t="s">
        <v>256</v>
      </c>
      <c r="I1" t="s">
        <v>257</v>
      </c>
      <c r="J1" t="s">
        <v>258</v>
      </c>
      <c r="K1" t="s">
        <v>259</v>
      </c>
      <c r="L1" t="s">
        <v>260</v>
      </c>
      <c r="M1" t="s">
        <v>261</v>
      </c>
      <c r="N1" t="s">
        <v>291</v>
      </c>
      <c r="O1" t="s">
        <v>292</v>
      </c>
      <c r="P1" t="s">
        <v>262</v>
      </c>
      <c r="Q1" t="s">
        <v>263</v>
      </c>
      <c r="R1" t="s">
        <v>264</v>
      </c>
      <c r="S1" t="s">
        <v>293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205C4-E353-4A4B-A5C1-FD2D2E7BD003}">
  <dimension ref="A1:T58"/>
  <sheetViews>
    <sheetView workbookViewId="0"/>
  </sheetViews>
  <sheetFormatPr baseColWidth="10" defaultRowHeight="15"/>
  <sheetData>
    <row r="1" spans="1:20">
      <c r="H1" t="s">
        <v>173</v>
      </c>
      <c r="N1" t="s">
        <v>172</v>
      </c>
    </row>
    <row r="2" spans="1:20" ht="32">
      <c r="C2" t="s">
        <v>1</v>
      </c>
      <c r="D2" t="s">
        <v>2</v>
      </c>
      <c r="E2" t="s">
        <v>3</v>
      </c>
      <c r="F2" t="s">
        <v>4</v>
      </c>
      <c r="G2" t="s">
        <v>190</v>
      </c>
      <c r="H2" s="63" t="s">
        <v>7</v>
      </c>
      <c r="I2" t="s">
        <v>8</v>
      </c>
      <c r="J2" t="s">
        <v>9</v>
      </c>
      <c r="K2" t="s">
        <v>10</v>
      </c>
      <c r="L2" t="s">
        <v>11</v>
      </c>
      <c r="M2" t="s">
        <v>12</v>
      </c>
      <c r="N2" t="s">
        <v>171</v>
      </c>
      <c r="O2" t="s">
        <v>382</v>
      </c>
      <c r="P2" t="s">
        <v>295</v>
      </c>
      <c r="Q2" t="s">
        <v>365</v>
      </c>
      <c r="R2" t="s">
        <v>366</v>
      </c>
      <c r="S2" t="s">
        <v>298</v>
      </c>
      <c r="T2" t="s">
        <v>299</v>
      </c>
    </row>
    <row r="3" spans="1:20" ht="380">
      <c r="A3" t="s">
        <v>192</v>
      </c>
      <c r="B3" t="s">
        <v>193</v>
      </c>
      <c r="C3" t="s">
        <v>15</v>
      </c>
      <c r="D3" t="s">
        <v>70</v>
      </c>
      <c r="E3" t="s">
        <v>17</v>
      </c>
      <c r="F3" t="s">
        <v>31</v>
      </c>
      <c r="G3" t="s">
        <v>194</v>
      </c>
      <c r="H3">
        <v>70</v>
      </c>
      <c r="I3">
        <v>70</v>
      </c>
      <c r="J3">
        <v>140</v>
      </c>
      <c r="K3">
        <v>400</v>
      </c>
      <c r="L3">
        <v>10</v>
      </c>
      <c r="M3">
        <v>70</v>
      </c>
      <c r="N3">
        <v>950</v>
      </c>
      <c r="O3">
        <v>18</v>
      </c>
      <c r="P3" t="s">
        <v>195</v>
      </c>
      <c r="Q3">
        <v>3726.6666666666702</v>
      </c>
      <c r="R3" s="63" t="s">
        <v>383</v>
      </c>
      <c r="S3" s="63" t="s">
        <v>314</v>
      </c>
      <c r="T3" t="s">
        <v>301</v>
      </c>
    </row>
    <row r="4" spans="1:20" ht="96">
      <c r="A4" t="s">
        <v>192</v>
      </c>
      <c r="C4" t="s">
        <v>128</v>
      </c>
      <c r="D4" t="s">
        <v>70</v>
      </c>
      <c r="E4" t="s">
        <v>17</v>
      </c>
      <c r="F4" t="s">
        <v>31</v>
      </c>
      <c r="G4" t="s">
        <v>199</v>
      </c>
      <c r="H4">
        <v>70</v>
      </c>
      <c r="I4">
        <v>70</v>
      </c>
      <c r="J4">
        <v>170</v>
      </c>
      <c r="K4">
        <v>250</v>
      </c>
      <c r="L4">
        <v>50</v>
      </c>
      <c r="M4">
        <v>50</v>
      </c>
      <c r="N4">
        <v>950</v>
      </c>
      <c r="O4">
        <v>4</v>
      </c>
      <c r="P4" t="s">
        <v>200</v>
      </c>
      <c r="Q4">
        <v>5326.6666666666697</v>
      </c>
      <c r="R4" s="63" t="s">
        <v>384</v>
      </c>
    </row>
    <row r="6" spans="1:20" ht="208">
      <c r="A6" t="s">
        <v>201</v>
      </c>
      <c r="B6" t="s">
        <v>202</v>
      </c>
      <c r="C6" t="s">
        <v>15</v>
      </c>
      <c r="D6" t="s">
        <v>16</v>
      </c>
      <c r="E6" t="s">
        <v>17</v>
      </c>
      <c r="F6" t="s">
        <v>18</v>
      </c>
      <c r="G6" t="s">
        <v>199</v>
      </c>
      <c r="H6">
        <v>70</v>
      </c>
      <c r="I6">
        <v>70</v>
      </c>
      <c r="J6">
        <v>140</v>
      </c>
      <c r="K6">
        <v>400</v>
      </c>
      <c r="L6">
        <v>10</v>
      </c>
      <c r="M6">
        <v>70</v>
      </c>
      <c r="N6">
        <v>2685</v>
      </c>
      <c r="O6">
        <v>1</v>
      </c>
      <c r="P6" t="s">
        <v>151</v>
      </c>
      <c r="Q6">
        <v>2350</v>
      </c>
      <c r="R6" t="s">
        <v>142</v>
      </c>
      <c r="S6" s="63" t="s">
        <v>203</v>
      </c>
    </row>
    <row r="7" spans="1:20" ht="112">
      <c r="A7" t="s">
        <v>204</v>
      </c>
      <c r="C7" s="63" t="s">
        <v>21</v>
      </c>
      <c r="D7" t="s">
        <v>22</v>
      </c>
      <c r="E7" t="s">
        <v>17</v>
      </c>
      <c r="F7" t="s">
        <v>23</v>
      </c>
      <c r="G7" t="s">
        <v>199</v>
      </c>
      <c r="H7">
        <v>70</v>
      </c>
      <c r="I7">
        <v>70</v>
      </c>
      <c r="J7">
        <v>140</v>
      </c>
      <c r="K7">
        <v>250</v>
      </c>
      <c r="L7">
        <v>10</v>
      </c>
      <c r="M7">
        <v>70</v>
      </c>
      <c r="N7">
        <v>885</v>
      </c>
      <c r="O7">
        <v>1</v>
      </c>
      <c r="Q7">
        <v>3750</v>
      </c>
      <c r="R7" t="s">
        <v>142</v>
      </c>
    </row>
    <row r="8" spans="1:20" ht="144">
      <c r="A8" t="s">
        <v>339</v>
      </c>
      <c r="B8" t="s">
        <v>206</v>
      </c>
      <c r="C8" t="s">
        <v>24</v>
      </c>
      <c r="D8" s="63" t="s">
        <v>25</v>
      </c>
      <c r="E8" t="s">
        <v>26</v>
      </c>
      <c r="F8" t="s">
        <v>27</v>
      </c>
      <c r="G8" t="s">
        <v>194</v>
      </c>
      <c r="H8">
        <v>70</v>
      </c>
      <c r="I8">
        <v>70</v>
      </c>
      <c r="J8">
        <v>140</v>
      </c>
      <c r="K8">
        <v>300</v>
      </c>
      <c r="L8">
        <v>30</v>
      </c>
      <c r="M8">
        <v>70</v>
      </c>
      <c r="N8">
        <v>2785</v>
      </c>
      <c r="O8">
        <v>3</v>
      </c>
      <c r="P8" t="s">
        <v>151</v>
      </c>
      <c r="Q8">
        <v>2200</v>
      </c>
      <c r="R8" t="s">
        <v>141</v>
      </c>
      <c r="S8" t="s">
        <v>170</v>
      </c>
      <c r="T8" t="s">
        <v>304</v>
      </c>
    </row>
    <row r="9" spans="1:20" ht="144">
      <c r="A9" t="s">
        <v>341</v>
      </c>
      <c r="C9" t="s">
        <v>28</v>
      </c>
      <c r="D9" s="63" t="s">
        <v>25</v>
      </c>
      <c r="E9" t="s">
        <v>29</v>
      </c>
      <c r="F9" t="s">
        <v>27</v>
      </c>
      <c r="G9" t="s">
        <v>194</v>
      </c>
      <c r="H9">
        <v>70</v>
      </c>
      <c r="I9">
        <v>80</v>
      </c>
      <c r="J9">
        <v>160</v>
      </c>
      <c r="K9">
        <v>1000</v>
      </c>
      <c r="L9">
        <v>50</v>
      </c>
      <c r="M9">
        <v>75</v>
      </c>
      <c r="N9">
        <v>2785</v>
      </c>
      <c r="O9">
        <v>3</v>
      </c>
      <c r="P9" t="s">
        <v>208</v>
      </c>
      <c r="Q9">
        <v>2193</v>
      </c>
      <c r="R9" t="s">
        <v>141</v>
      </c>
    </row>
    <row r="10" spans="1:20" ht="144">
      <c r="A10" t="s">
        <v>209</v>
      </c>
      <c r="C10" t="s">
        <v>15</v>
      </c>
      <c r="D10" s="63" t="s">
        <v>25</v>
      </c>
      <c r="E10" t="s">
        <v>17</v>
      </c>
      <c r="F10" t="s">
        <v>27</v>
      </c>
      <c r="G10" t="s">
        <v>194</v>
      </c>
      <c r="H10">
        <v>70</v>
      </c>
      <c r="I10">
        <v>70</v>
      </c>
      <c r="J10">
        <v>140</v>
      </c>
      <c r="K10">
        <v>400</v>
      </c>
      <c r="L10">
        <v>10</v>
      </c>
      <c r="M10">
        <v>70</v>
      </c>
      <c r="N10">
        <v>2785</v>
      </c>
      <c r="O10">
        <v>3</v>
      </c>
      <c r="P10" t="s">
        <v>210</v>
      </c>
      <c r="Q10">
        <v>2193</v>
      </c>
      <c r="R10" t="s">
        <v>141</v>
      </c>
    </row>
    <row r="12" spans="1:20" ht="240">
      <c r="A12" t="s">
        <v>211</v>
      </c>
      <c r="B12" t="s">
        <v>305</v>
      </c>
      <c r="C12" t="s">
        <v>33</v>
      </c>
      <c r="D12" s="63" t="s">
        <v>34</v>
      </c>
      <c r="E12" t="s">
        <v>17</v>
      </c>
      <c r="F12" t="s">
        <v>79</v>
      </c>
      <c r="G12" t="s">
        <v>199</v>
      </c>
      <c r="H12">
        <v>70</v>
      </c>
      <c r="I12">
        <v>70</v>
      </c>
      <c r="J12">
        <v>140</v>
      </c>
      <c r="K12">
        <v>400</v>
      </c>
      <c r="L12">
        <v>10</v>
      </c>
      <c r="M12">
        <v>70</v>
      </c>
      <c r="N12">
        <v>2200</v>
      </c>
      <c r="O12">
        <v>1</v>
      </c>
      <c r="P12" t="s">
        <v>153</v>
      </c>
      <c r="Q12">
        <v>1800</v>
      </c>
      <c r="R12" t="s">
        <v>212</v>
      </c>
      <c r="S12" s="63" t="s">
        <v>213</v>
      </c>
      <c r="T12" t="s">
        <v>76</v>
      </c>
    </row>
    <row r="13" spans="1:20" ht="192">
      <c r="A13" t="s">
        <v>355</v>
      </c>
      <c r="C13" t="s">
        <v>64</v>
      </c>
      <c r="D13" s="63" t="s">
        <v>34</v>
      </c>
      <c r="E13" t="s">
        <v>29</v>
      </c>
      <c r="F13" t="s">
        <v>79</v>
      </c>
      <c r="G13" t="s">
        <v>199</v>
      </c>
      <c r="H13">
        <v>70</v>
      </c>
      <c r="I13">
        <v>70</v>
      </c>
      <c r="J13">
        <v>140</v>
      </c>
      <c r="K13">
        <v>300</v>
      </c>
      <c r="L13">
        <v>250</v>
      </c>
      <c r="M13">
        <v>70</v>
      </c>
      <c r="N13">
        <v>2200</v>
      </c>
      <c r="O13">
        <v>2</v>
      </c>
      <c r="P13" t="s">
        <v>151</v>
      </c>
      <c r="Q13">
        <v>2100</v>
      </c>
      <c r="R13" t="s">
        <v>302</v>
      </c>
    </row>
    <row r="14" spans="1:20" ht="192">
      <c r="A14" t="s">
        <v>215</v>
      </c>
      <c r="C14" t="s">
        <v>74</v>
      </c>
      <c r="D14" s="63" t="s">
        <v>34</v>
      </c>
      <c r="E14" t="s">
        <v>56</v>
      </c>
      <c r="F14" t="s">
        <v>79</v>
      </c>
      <c r="G14" t="s">
        <v>199</v>
      </c>
      <c r="H14">
        <v>70</v>
      </c>
      <c r="I14">
        <v>70</v>
      </c>
      <c r="J14">
        <v>140</v>
      </c>
      <c r="K14">
        <v>300</v>
      </c>
      <c r="L14">
        <v>250</v>
      </c>
      <c r="M14">
        <v>70</v>
      </c>
      <c r="N14">
        <v>2200</v>
      </c>
      <c r="O14">
        <v>0.5</v>
      </c>
      <c r="P14" t="s">
        <v>154</v>
      </c>
      <c r="Q14">
        <v>2400</v>
      </c>
      <c r="R14" t="s">
        <v>302</v>
      </c>
    </row>
    <row r="16" spans="1:20" ht="160">
      <c r="A16" t="s">
        <v>344</v>
      </c>
      <c r="B16" t="s">
        <v>40</v>
      </c>
      <c r="C16" t="s">
        <v>37</v>
      </c>
      <c r="D16" t="s">
        <v>38</v>
      </c>
      <c r="E16" t="s">
        <v>17</v>
      </c>
      <c r="F16" t="s">
        <v>39</v>
      </c>
      <c r="G16" t="s">
        <v>199</v>
      </c>
      <c r="H16">
        <v>70</v>
      </c>
      <c r="I16">
        <v>70</v>
      </c>
      <c r="J16">
        <v>140</v>
      </c>
      <c r="K16">
        <v>250</v>
      </c>
      <c r="L16">
        <v>10</v>
      </c>
      <c r="M16">
        <v>70</v>
      </c>
      <c r="N16">
        <v>800</v>
      </c>
      <c r="O16">
        <v>1</v>
      </c>
      <c r="P16" t="s">
        <v>155</v>
      </c>
      <c r="Q16">
        <v>650</v>
      </c>
      <c r="R16" t="s">
        <v>385</v>
      </c>
      <c r="S16" s="63" t="s">
        <v>217</v>
      </c>
      <c r="T16" t="s">
        <v>76</v>
      </c>
    </row>
    <row r="17" spans="1:20" ht="256">
      <c r="A17" t="s">
        <v>344</v>
      </c>
      <c r="C17" t="s">
        <v>41</v>
      </c>
      <c r="D17" s="63" t="s">
        <v>42</v>
      </c>
      <c r="E17" t="s">
        <v>17</v>
      </c>
      <c r="F17" t="s">
        <v>39</v>
      </c>
      <c r="G17" t="s">
        <v>199</v>
      </c>
      <c r="H17">
        <v>70</v>
      </c>
      <c r="I17">
        <v>70</v>
      </c>
      <c r="J17">
        <v>140</v>
      </c>
      <c r="K17">
        <v>250</v>
      </c>
      <c r="L17">
        <v>10</v>
      </c>
      <c r="M17">
        <v>70</v>
      </c>
      <c r="N17">
        <v>800</v>
      </c>
      <c r="O17">
        <v>3</v>
      </c>
      <c r="P17" t="s">
        <v>155</v>
      </c>
      <c r="Q17">
        <v>650</v>
      </c>
      <c r="R17" t="s">
        <v>385</v>
      </c>
    </row>
    <row r="18" spans="1:20">
      <c r="A18" t="s">
        <v>349</v>
      </c>
      <c r="C18" t="s">
        <v>43</v>
      </c>
      <c r="D18" t="s">
        <v>38</v>
      </c>
      <c r="E18" t="s">
        <v>44</v>
      </c>
      <c r="F18" t="s">
        <v>39</v>
      </c>
      <c r="G18" t="s">
        <v>199</v>
      </c>
      <c r="H18">
        <v>70</v>
      </c>
      <c r="I18">
        <v>70</v>
      </c>
      <c r="J18">
        <v>140</v>
      </c>
      <c r="K18">
        <v>420</v>
      </c>
      <c r="L18">
        <v>30</v>
      </c>
      <c r="M18">
        <v>70</v>
      </c>
      <c r="N18">
        <v>800</v>
      </c>
      <c r="O18">
        <v>0.5</v>
      </c>
      <c r="P18" t="s">
        <v>219</v>
      </c>
      <c r="Q18">
        <v>600</v>
      </c>
      <c r="R18" t="s">
        <v>142</v>
      </c>
    </row>
    <row r="19" spans="1:20" ht="256">
      <c r="A19" t="s">
        <v>351</v>
      </c>
      <c r="C19" t="s">
        <v>45</v>
      </c>
      <c r="D19" s="63" t="s">
        <v>42</v>
      </c>
      <c r="E19" t="s">
        <v>46</v>
      </c>
      <c r="F19" t="s">
        <v>39</v>
      </c>
      <c r="G19" t="s">
        <v>199</v>
      </c>
      <c r="H19">
        <v>70</v>
      </c>
      <c r="I19">
        <v>70</v>
      </c>
      <c r="J19">
        <v>140</v>
      </c>
      <c r="K19">
        <v>420</v>
      </c>
      <c r="L19">
        <v>30</v>
      </c>
      <c r="M19">
        <v>70</v>
      </c>
      <c r="N19">
        <v>800</v>
      </c>
      <c r="O19">
        <v>0.5</v>
      </c>
      <c r="P19" t="s">
        <v>222</v>
      </c>
      <c r="Q19">
        <v>600</v>
      </c>
      <c r="R19" t="s">
        <v>302</v>
      </c>
    </row>
    <row r="20" spans="1:20" ht="256">
      <c r="A20" t="s">
        <v>352</v>
      </c>
      <c r="C20" s="63" t="s">
        <v>42</v>
      </c>
      <c r="D20" s="63" t="s">
        <v>34</v>
      </c>
      <c r="E20" t="s">
        <v>39</v>
      </c>
      <c r="F20" t="s">
        <v>79</v>
      </c>
      <c r="G20" t="s">
        <v>224</v>
      </c>
      <c r="H20">
        <v>70</v>
      </c>
      <c r="I20">
        <v>70</v>
      </c>
      <c r="J20">
        <v>140</v>
      </c>
      <c r="K20">
        <v>300</v>
      </c>
      <c r="L20">
        <v>30</v>
      </c>
      <c r="M20">
        <v>70</v>
      </c>
      <c r="N20">
        <v>2200</v>
      </c>
      <c r="O20">
        <v>6</v>
      </c>
      <c r="P20" t="s">
        <v>154</v>
      </c>
      <c r="Q20">
        <v>3300</v>
      </c>
      <c r="R20" t="s">
        <v>142</v>
      </c>
    </row>
    <row r="22" spans="1:20" ht="288">
      <c r="A22" t="s">
        <v>225</v>
      </c>
      <c r="B22" t="s">
        <v>48</v>
      </c>
      <c r="C22" s="63" t="s">
        <v>47</v>
      </c>
      <c r="D22" t="s">
        <v>15</v>
      </c>
      <c r="E22" t="s">
        <v>56</v>
      </c>
      <c r="F22" t="s">
        <v>17</v>
      </c>
      <c r="G22" t="s">
        <v>199</v>
      </c>
      <c r="H22">
        <v>70</v>
      </c>
      <c r="I22">
        <v>50</v>
      </c>
      <c r="J22">
        <v>260</v>
      </c>
      <c r="K22">
        <v>325</v>
      </c>
      <c r="L22">
        <v>90</v>
      </c>
      <c r="M22">
        <v>80</v>
      </c>
      <c r="N22">
        <v>600</v>
      </c>
      <c r="O22">
        <v>1</v>
      </c>
      <c r="P22" t="s">
        <v>155</v>
      </c>
      <c r="Q22">
        <v>1</v>
      </c>
      <c r="R22" t="s">
        <v>131</v>
      </c>
      <c r="S22" s="63" t="s">
        <v>369</v>
      </c>
    </row>
    <row r="23" spans="1:20" ht="144">
      <c r="A23" t="s">
        <v>226</v>
      </c>
      <c r="C23" s="63" t="s">
        <v>49</v>
      </c>
      <c r="D23" t="s">
        <v>15</v>
      </c>
      <c r="E23" t="s">
        <v>227</v>
      </c>
      <c r="F23" t="s">
        <v>17</v>
      </c>
      <c r="G23" t="s">
        <v>199</v>
      </c>
      <c r="H23">
        <v>50</v>
      </c>
      <c r="I23">
        <v>35</v>
      </c>
      <c r="J23">
        <v>125</v>
      </c>
      <c r="K23">
        <v>280</v>
      </c>
      <c r="L23">
        <v>150</v>
      </c>
      <c r="M23">
        <v>50</v>
      </c>
      <c r="N23">
        <v>600</v>
      </c>
      <c r="O23">
        <v>2</v>
      </c>
      <c r="P23" t="s">
        <v>156</v>
      </c>
      <c r="Q23">
        <v>1</v>
      </c>
      <c r="R23" t="s">
        <v>131</v>
      </c>
    </row>
    <row r="24" spans="1:20">
      <c r="P24" t="s">
        <v>183</v>
      </c>
      <c r="Q24" t="s">
        <v>370</v>
      </c>
      <c r="R24" t="s">
        <v>366</v>
      </c>
    </row>
    <row r="25" spans="1:20">
      <c r="A25" t="s">
        <v>386</v>
      </c>
      <c r="B25" t="s">
        <v>53</v>
      </c>
      <c r="C25" t="s">
        <v>40</v>
      </c>
      <c r="D25" t="s">
        <v>229</v>
      </c>
      <c r="E25" t="s">
        <v>39</v>
      </c>
      <c r="F25" t="s">
        <v>105</v>
      </c>
      <c r="G25" t="s">
        <v>230</v>
      </c>
      <c r="H25">
        <v>70</v>
      </c>
      <c r="I25">
        <v>50</v>
      </c>
      <c r="J25">
        <v>260</v>
      </c>
      <c r="K25">
        <v>250</v>
      </c>
      <c r="L25">
        <v>90</v>
      </c>
      <c r="M25">
        <v>80</v>
      </c>
      <c r="N25" t="s">
        <v>169</v>
      </c>
      <c r="O25">
        <v>9</v>
      </c>
      <c r="P25" t="s">
        <v>265</v>
      </c>
      <c r="Q25">
        <v>2119.5</v>
      </c>
      <c r="R25" t="s">
        <v>302</v>
      </c>
      <c r="S25" s="63" t="s">
        <v>319</v>
      </c>
      <c r="T25" t="s">
        <v>310</v>
      </c>
    </row>
    <row r="26" spans="1:20">
      <c r="A26" t="s">
        <v>387</v>
      </c>
      <c r="C26" t="s">
        <v>101</v>
      </c>
      <c r="D26" t="s">
        <v>233</v>
      </c>
      <c r="E26" t="s">
        <v>56</v>
      </c>
      <c r="F26" t="s">
        <v>105</v>
      </c>
      <c r="G26" t="s">
        <v>230</v>
      </c>
      <c r="H26">
        <v>70</v>
      </c>
      <c r="I26">
        <v>50</v>
      </c>
      <c r="J26">
        <v>260</v>
      </c>
      <c r="K26">
        <v>325</v>
      </c>
      <c r="L26">
        <v>90</v>
      </c>
      <c r="M26">
        <v>80</v>
      </c>
      <c r="N26" t="s">
        <v>169</v>
      </c>
      <c r="O26">
        <v>2</v>
      </c>
      <c r="Q26">
        <v>2000</v>
      </c>
      <c r="R26" t="s">
        <v>302</v>
      </c>
    </row>
    <row r="27" spans="1:20">
      <c r="A27" t="s">
        <v>386</v>
      </c>
      <c r="C27" t="s">
        <v>94</v>
      </c>
      <c r="D27" t="s">
        <v>235</v>
      </c>
      <c r="E27" t="s">
        <v>39</v>
      </c>
      <c r="F27" t="s">
        <v>105</v>
      </c>
      <c r="G27" t="s">
        <v>230</v>
      </c>
      <c r="H27">
        <v>70</v>
      </c>
      <c r="I27">
        <v>50</v>
      </c>
      <c r="J27">
        <v>260</v>
      </c>
      <c r="K27">
        <v>250</v>
      </c>
      <c r="L27">
        <v>90</v>
      </c>
      <c r="M27">
        <v>80</v>
      </c>
      <c r="N27" t="s">
        <v>169</v>
      </c>
      <c r="O27">
        <v>1</v>
      </c>
      <c r="Q27">
        <v>2239</v>
      </c>
      <c r="R27" t="s">
        <v>302</v>
      </c>
    </row>
    <row r="28" spans="1:20">
      <c r="A28" t="s">
        <v>388</v>
      </c>
      <c r="C28" t="s">
        <v>102</v>
      </c>
      <c r="D28" t="s">
        <v>233</v>
      </c>
      <c r="E28" t="s">
        <v>29</v>
      </c>
      <c r="F28" t="s">
        <v>105</v>
      </c>
      <c r="G28" t="s">
        <v>230</v>
      </c>
      <c r="H28">
        <v>70</v>
      </c>
      <c r="I28">
        <v>80</v>
      </c>
      <c r="J28">
        <v>160</v>
      </c>
      <c r="K28">
        <v>1000</v>
      </c>
      <c r="L28">
        <v>50</v>
      </c>
      <c r="M28">
        <v>75</v>
      </c>
      <c r="N28" t="s">
        <v>169</v>
      </c>
      <c r="O28">
        <v>2</v>
      </c>
      <c r="P28" t="s">
        <v>266</v>
      </c>
      <c r="Q28">
        <v>2790</v>
      </c>
      <c r="R28" t="s">
        <v>302</v>
      </c>
    </row>
    <row r="29" spans="1:20">
      <c r="A29" t="s">
        <v>389</v>
      </c>
      <c r="C29" t="s">
        <v>103</v>
      </c>
      <c r="D29" t="s">
        <v>233</v>
      </c>
      <c r="E29" t="s">
        <v>227</v>
      </c>
      <c r="F29" t="s">
        <v>105</v>
      </c>
      <c r="G29" t="s">
        <v>230</v>
      </c>
      <c r="H29">
        <v>70</v>
      </c>
      <c r="I29">
        <v>35</v>
      </c>
      <c r="J29">
        <v>145</v>
      </c>
      <c r="K29">
        <v>350</v>
      </c>
      <c r="L29">
        <v>150</v>
      </c>
      <c r="M29">
        <v>50</v>
      </c>
      <c r="N29" t="s">
        <v>169</v>
      </c>
      <c r="O29">
        <v>1</v>
      </c>
      <c r="P29" t="s">
        <v>267</v>
      </c>
      <c r="Q29">
        <v>3400</v>
      </c>
      <c r="R29" t="s">
        <v>302</v>
      </c>
    </row>
    <row r="30" spans="1:20">
      <c r="A30" t="s">
        <v>390</v>
      </c>
      <c r="C30" t="s">
        <v>82</v>
      </c>
      <c r="D30" t="s">
        <v>235</v>
      </c>
      <c r="E30" t="s">
        <v>17</v>
      </c>
      <c r="F30" t="s">
        <v>105</v>
      </c>
      <c r="G30" t="s">
        <v>239</v>
      </c>
      <c r="H30">
        <v>70</v>
      </c>
      <c r="I30">
        <v>70</v>
      </c>
      <c r="J30">
        <v>145</v>
      </c>
      <c r="K30">
        <v>550</v>
      </c>
      <c r="L30">
        <v>15</v>
      </c>
      <c r="M30">
        <v>60</v>
      </c>
      <c r="N30" t="s">
        <v>169</v>
      </c>
      <c r="O30">
        <v>2</v>
      </c>
      <c r="P30" t="s">
        <v>219</v>
      </c>
      <c r="Q30">
        <v>1748</v>
      </c>
      <c r="R30" t="s">
        <v>141</v>
      </c>
    </row>
    <row r="31" spans="1:20">
      <c r="A31" t="s">
        <v>390</v>
      </c>
      <c r="C31" t="s">
        <v>83</v>
      </c>
      <c r="D31" t="s">
        <v>235</v>
      </c>
      <c r="E31" t="s">
        <v>17</v>
      </c>
      <c r="F31" t="s">
        <v>105</v>
      </c>
      <c r="G31" t="s">
        <v>230</v>
      </c>
      <c r="H31">
        <v>70</v>
      </c>
      <c r="I31">
        <v>70</v>
      </c>
      <c r="J31">
        <v>145</v>
      </c>
      <c r="K31">
        <v>550</v>
      </c>
      <c r="L31">
        <v>15</v>
      </c>
      <c r="M31">
        <v>60</v>
      </c>
      <c r="N31" t="s">
        <v>169</v>
      </c>
      <c r="O31">
        <v>1</v>
      </c>
      <c r="Q31">
        <v>1749</v>
      </c>
      <c r="R31" t="s">
        <v>141</v>
      </c>
    </row>
    <row r="32" spans="1:20">
      <c r="A32" t="s">
        <v>390</v>
      </c>
      <c r="C32" t="s">
        <v>84</v>
      </c>
      <c r="D32" t="s">
        <v>235</v>
      </c>
      <c r="E32" t="s">
        <v>17</v>
      </c>
      <c r="F32" t="s">
        <v>105</v>
      </c>
      <c r="G32" t="s">
        <v>230</v>
      </c>
      <c r="H32">
        <v>70</v>
      </c>
      <c r="I32">
        <v>70</v>
      </c>
      <c r="J32">
        <v>145</v>
      </c>
      <c r="K32">
        <v>550</v>
      </c>
      <c r="L32">
        <v>15</v>
      </c>
      <c r="M32">
        <v>60</v>
      </c>
      <c r="N32" t="s">
        <v>169</v>
      </c>
      <c r="O32">
        <v>0.5</v>
      </c>
      <c r="Q32">
        <v>1748</v>
      </c>
      <c r="R32" t="s">
        <v>141</v>
      </c>
    </row>
    <row r="33" spans="1:18">
      <c r="A33" t="s">
        <v>390</v>
      </c>
      <c r="C33" t="s">
        <v>85</v>
      </c>
      <c r="D33" t="s">
        <v>235</v>
      </c>
      <c r="E33" t="s">
        <v>17</v>
      </c>
      <c r="F33" t="s">
        <v>105</v>
      </c>
      <c r="G33" t="s">
        <v>230</v>
      </c>
      <c r="H33">
        <v>70</v>
      </c>
      <c r="I33">
        <v>70</v>
      </c>
      <c r="J33">
        <v>145</v>
      </c>
      <c r="K33">
        <v>250</v>
      </c>
      <c r="L33">
        <v>15</v>
      </c>
      <c r="M33">
        <v>60</v>
      </c>
      <c r="N33" t="s">
        <v>169</v>
      </c>
      <c r="O33">
        <v>2</v>
      </c>
      <c r="Q33">
        <v>1750</v>
      </c>
      <c r="R33" t="s">
        <v>141</v>
      </c>
    </row>
    <row r="34" spans="1:18">
      <c r="A34" t="s">
        <v>390</v>
      </c>
      <c r="C34" t="s">
        <v>86</v>
      </c>
      <c r="D34" t="s">
        <v>235</v>
      </c>
      <c r="E34" t="s">
        <v>17</v>
      </c>
      <c r="F34" t="s">
        <v>105</v>
      </c>
      <c r="G34" t="s">
        <v>230</v>
      </c>
      <c r="H34">
        <v>70</v>
      </c>
      <c r="I34">
        <v>70</v>
      </c>
      <c r="J34">
        <v>145</v>
      </c>
      <c r="K34">
        <v>200</v>
      </c>
      <c r="L34">
        <v>15</v>
      </c>
      <c r="M34">
        <v>50</v>
      </c>
      <c r="N34" t="s">
        <v>169</v>
      </c>
      <c r="O34">
        <v>2</v>
      </c>
      <c r="Q34">
        <v>1750</v>
      </c>
      <c r="R34" t="s">
        <v>141</v>
      </c>
    </row>
    <row r="35" spans="1:18">
      <c r="A35" t="s">
        <v>390</v>
      </c>
      <c r="C35" t="s">
        <v>87</v>
      </c>
      <c r="D35" t="s">
        <v>235</v>
      </c>
      <c r="E35" t="s">
        <v>17</v>
      </c>
      <c r="F35" t="s">
        <v>105</v>
      </c>
      <c r="G35" t="s">
        <v>230</v>
      </c>
      <c r="H35">
        <v>70</v>
      </c>
      <c r="I35">
        <v>70</v>
      </c>
      <c r="J35">
        <v>145</v>
      </c>
      <c r="K35">
        <v>1550</v>
      </c>
      <c r="L35">
        <v>15</v>
      </c>
      <c r="M35">
        <v>60</v>
      </c>
      <c r="N35" t="s">
        <v>169</v>
      </c>
      <c r="O35">
        <v>0.5</v>
      </c>
      <c r="Q35">
        <v>1750</v>
      </c>
      <c r="R35" t="s">
        <v>141</v>
      </c>
    </row>
    <row r="36" spans="1:18">
      <c r="A36" t="s">
        <v>390</v>
      </c>
      <c r="C36" t="s">
        <v>97</v>
      </c>
      <c r="D36" t="s">
        <v>233</v>
      </c>
      <c r="E36" t="s">
        <v>17</v>
      </c>
      <c r="F36" t="s">
        <v>105</v>
      </c>
      <c r="G36" t="s">
        <v>230</v>
      </c>
      <c r="H36">
        <v>70</v>
      </c>
      <c r="I36">
        <v>70</v>
      </c>
      <c r="J36">
        <v>145</v>
      </c>
      <c r="K36">
        <v>350</v>
      </c>
      <c r="L36">
        <v>15</v>
      </c>
      <c r="M36">
        <v>60</v>
      </c>
      <c r="N36" t="s">
        <v>169</v>
      </c>
      <c r="O36">
        <v>1</v>
      </c>
      <c r="Q36">
        <v>1750</v>
      </c>
      <c r="R36" t="s">
        <v>141</v>
      </c>
    </row>
    <row r="37" spans="1:18">
      <c r="A37" t="s">
        <v>391</v>
      </c>
      <c r="C37" t="s">
        <v>247</v>
      </c>
      <c r="D37" t="s">
        <v>233</v>
      </c>
      <c r="E37" t="s">
        <v>44</v>
      </c>
      <c r="F37" t="s">
        <v>105</v>
      </c>
      <c r="G37" t="s">
        <v>230</v>
      </c>
      <c r="H37">
        <v>70</v>
      </c>
      <c r="I37">
        <v>70</v>
      </c>
      <c r="J37">
        <v>145</v>
      </c>
      <c r="K37">
        <v>200</v>
      </c>
      <c r="L37">
        <v>15</v>
      </c>
      <c r="M37">
        <v>50</v>
      </c>
      <c r="N37" t="s">
        <v>169</v>
      </c>
      <c r="O37">
        <v>1</v>
      </c>
      <c r="Q37">
        <v>1750</v>
      </c>
      <c r="R37" t="s">
        <v>141</v>
      </c>
    </row>
    <row r="38" spans="1:18">
      <c r="A38" t="s">
        <v>390</v>
      </c>
      <c r="C38" t="s">
        <v>98</v>
      </c>
      <c r="D38" t="s">
        <v>233</v>
      </c>
      <c r="E38" t="s">
        <v>17</v>
      </c>
      <c r="F38" t="s">
        <v>105</v>
      </c>
      <c r="G38" t="s">
        <v>239</v>
      </c>
      <c r="H38">
        <v>70</v>
      </c>
      <c r="I38">
        <v>70</v>
      </c>
      <c r="J38">
        <v>145</v>
      </c>
      <c r="K38">
        <v>50</v>
      </c>
      <c r="L38">
        <v>15</v>
      </c>
      <c r="M38">
        <v>60</v>
      </c>
      <c r="N38" t="s">
        <v>169</v>
      </c>
      <c r="O38">
        <v>1</v>
      </c>
      <c r="Q38">
        <v>1750</v>
      </c>
      <c r="R38" t="s">
        <v>141</v>
      </c>
    </row>
    <row r="39" spans="1:18">
      <c r="A39" t="s">
        <v>390</v>
      </c>
      <c r="C39" t="s">
        <v>250</v>
      </c>
      <c r="D39" t="s">
        <v>235</v>
      </c>
      <c r="E39" t="s">
        <v>17</v>
      </c>
      <c r="F39" t="s">
        <v>105</v>
      </c>
      <c r="G39" t="s">
        <v>230</v>
      </c>
      <c r="H39">
        <v>70</v>
      </c>
      <c r="I39">
        <v>70</v>
      </c>
      <c r="J39">
        <v>145</v>
      </c>
      <c r="K39">
        <v>550</v>
      </c>
      <c r="L39">
        <v>15</v>
      </c>
      <c r="M39">
        <v>60</v>
      </c>
      <c r="N39" t="s">
        <v>169</v>
      </c>
      <c r="O39">
        <v>1</v>
      </c>
      <c r="Q39">
        <v>1750</v>
      </c>
      <c r="R39" t="s">
        <v>141</v>
      </c>
    </row>
    <row r="40" spans="1:18">
      <c r="A40" t="s">
        <v>390</v>
      </c>
      <c r="C40" t="s">
        <v>99</v>
      </c>
      <c r="D40" t="s">
        <v>233</v>
      </c>
      <c r="E40" t="s">
        <v>17</v>
      </c>
      <c r="F40" t="s">
        <v>105</v>
      </c>
      <c r="G40" t="s">
        <v>230</v>
      </c>
      <c r="H40">
        <v>70</v>
      </c>
      <c r="I40">
        <v>70</v>
      </c>
      <c r="J40">
        <v>145</v>
      </c>
      <c r="K40">
        <v>550</v>
      </c>
      <c r="L40">
        <v>15</v>
      </c>
      <c r="M40">
        <v>60</v>
      </c>
      <c r="N40" t="s">
        <v>169</v>
      </c>
      <c r="O40">
        <v>2</v>
      </c>
      <c r="Q40">
        <v>1750</v>
      </c>
      <c r="R40" t="s">
        <v>141</v>
      </c>
    </row>
    <row r="41" spans="1:18">
      <c r="A41" t="s">
        <v>390</v>
      </c>
      <c r="C41" t="s">
        <v>100</v>
      </c>
      <c r="D41" t="s">
        <v>233</v>
      </c>
      <c r="E41" t="s">
        <v>17</v>
      </c>
      <c r="F41" t="s">
        <v>105</v>
      </c>
      <c r="G41" t="s">
        <v>230</v>
      </c>
      <c r="H41">
        <v>70</v>
      </c>
      <c r="I41">
        <v>70</v>
      </c>
      <c r="J41">
        <v>145</v>
      </c>
      <c r="K41">
        <v>1500</v>
      </c>
      <c r="L41">
        <v>15</v>
      </c>
      <c r="M41">
        <v>60</v>
      </c>
      <c r="N41" t="s">
        <v>169</v>
      </c>
      <c r="O41">
        <v>2</v>
      </c>
      <c r="Q41">
        <v>1750</v>
      </c>
      <c r="R41" t="s">
        <v>141</v>
      </c>
    </row>
    <row r="43" spans="1:18">
      <c r="A43" t="s">
        <v>392</v>
      </c>
    </row>
    <row r="44" spans="1:18">
      <c r="A44" t="s">
        <v>393</v>
      </c>
    </row>
    <row r="45" spans="1:18">
      <c r="A45" t="s">
        <v>392</v>
      </c>
    </row>
    <row r="46" spans="1:18">
      <c r="A46" t="s">
        <v>394</v>
      </c>
    </row>
    <row r="47" spans="1:18">
      <c r="A47" t="s">
        <v>395</v>
      </c>
    </row>
    <row r="48" spans="1:18">
      <c r="A48" t="s">
        <v>395</v>
      </c>
    </row>
    <row r="49" spans="1:1">
      <c r="A49" t="s">
        <v>395</v>
      </c>
    </row>
    <row r="50" spans="1:1">
      <c r="A50" t="s">
        <v>395</v>
      </c>
    </row>
    <row r="51" spans="1:1">
      <c r="A51" t="s">
        <v>395</v>
      </c>
    </row>
    <row r="52" spans="1:1">
      <c r="A52" t="s">
        <v>395</v>
      </c>
    </row>
    <row r="53" spans="1:1">
      <c r="A53" t="s">
        <v>395</v>
      </c>
    </row>
    <row r="54" spans="1:1">
      <c r="A54" t="s">
        <v>396</v>
      </c>
    </row>
    <row r="55" spans="1:1">
      <c r="A55" t="s">
        <v>395</v>
      </c>
    </row>
    <row r="56" spans="1:1">
      <c r="A56" t="s">
        <v>395</v>
      </c>
    </row>
    <row r="57" spans="1:1">
      <c r="A57" t="s">
        <v>395</v>
      </c>
    </row>
    <row r="58" spans="1:1">
      <c r="A58" t="s">
        <v>395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CAFEC-4F8A-0848-9D66-EF29F41C3B05}">
  <dimension ref="A1:T40"/>
  <sheetViews>
    <sheetView workbookViewId="0"/>
  </sheetViews>
  <sheetFormatPr baseColWidth="10" defaultRowHeight="15"/>
  <sheetData>
    <row r="1" spans="1:20">
      <c r="H1" t="s">
        <v>173</v>
      </c>
      <c r="N1" t="s">
        <v>172</v>
      </c>
      <c r="O1" t="s">
        <v>399</v>
      </c>
      <c r="P1" t="s">
        <v>400</v>
      </c>
    </row>
    <row r="2" spans="1:20" ht="32">
      <c r="B2" t="s">
        <v>1</v>
      </c>
      <c r="C2" t="s">
        <v>2</v>
      </c>
      <c r="D2" t="s">
        <v>3</v>
      </c>
      <c r="E2" t="s">
        <v>4</v>
      </c>
      <c r="F2" t="s">
        <v>190</v>
      </c>
      <c r="G2" t="s">
        <v>401</v>
      </c>
      <c r="H2" s="63" t="s">
        <v>7</v>
      </c>
      <c r="I2" t="s">
        <v>8</v>
      </c>
      <c r="J2" t="s">
        <v>9</v>
      </c>
      <c r="K2" t="s">
        <v>10</v>
      </c>
      <c r="L2" t="s">
        <v>11</v>
      </c>
      <c r="M2" t="s">
        <v>12</v>
      </c>
      <c r="N2" t="s">
        <v>171</v>
      </c>
      <c r="O2" t="s">
        <v>402</v>
      </c>
      <c r="P2" t="s">
        <v>366</v>
      </c>
      <c r="Q2" t="s">
        <v>298</v>
      </c>
      <c r="R2" t="s">
        <v>403</v>
      </c>
    </row>
    <row r="3" spans="1:20" ht="350">
      <c r="A3" t="s">
        <v>193</v>
      </c>
      <c r="B3" t="s">
        <v>15</v>
      </c>
      <c r="C3" t="s">
        <v>70</v>
      </c>
      <c r="D3" t="s">
        <v>17</v>
      </c>
      <c r="E3" t="s">
        <v>31</v>
      </c>
      <c r="F3" t="s">
        <v>194</v>
      </c>
      <c r="G3">
        <v>22</v>
      </c>
      <c r="H3">
        <v>70</v>
      </c>
      <c r="I3">
        <v>70</v>
      </c>
      <c r="J3">
        <v>140</v>
      </c>
      <c r="K3">
        <v>400</v>
      </c>
      <c r="L3">
        <v>10</v>
      </c>
      <c r="M3">
        <v>70</v>
      </c>
      <c r="N3">
        <v>950</v>
      </c>
      <c r="O3">
        <v>2800</v>
      </c>
      <c r="P3" t="s">
        <v>129</v>
      </c>
      <c r="Q3" s="63" t="s">
        <v>404</v>
      </c>
    </row>
    <row r="4" spans="1:20">
      <c r="B4" t="s">
        <v>128</v>
      </c>
      <c r="C4" t="s">
        <v>70</v>
      </c>
      <c r="D4" t="s">
        <v>17</v>
      </c>
      <c r="E4" t="s">
        <v>31</v>
      </c>
      <c r="F4" t="s">
        <v>199</v>
      </c>
      <c r="G4">
        <v>4</v>
      </c>
      <c r="H4">
        <v>70</v>
      </c>
      <c r="I4">
        <v>70</v>
      </c>
      <c r="J4">
        <v>140</v>
      </c>
      <c r="K4">
        <v>200</v>
      </c>
      <c r="L4">
        <v>20</v>
      </c>
      <c r="M4">
        <v>50</v>
      </c>
      <c r="N4">
        <v>950</v>
      </c>
      <c r="O4">
        <v>4294</v>
      </c>
      <c r="P4" t="s">
        <v>141</v>
      </c>
    </row>
    <row r="6" spans="1:20" ht="208">
      <c r="A6" t="s">
        <v>202</v>
      </c>
      <c r="B6" t="s">
        <v>15</v>
      </c>
      <c r="C6" t="s">
        <v>16</v>
      </c>
      <c r="D6" t="s">
        <v>17</v>
      </c>
      <c r="E6" t="s">
        <v>18</v>
      </c>
      <c r="F6" t="s">
        <v>199</v>
      </c>
      <c r="G6">
        <v>2</v>
      </c>
      <c r="H6">
        <v>70</v>
      </c>
      <c r="I6">
        <v>70</v>
      </c>
      <c r="J6">
        <v>140</v>
      </c>
      <c r="K6">
        <v>400</v>
      </c>
      <c r="L6">
        <v>10</v>
      </c>
      <c r="M6">
        <v>70</v>
      </c>
      <c r="N6">
        <v>2685</v>
      </c>
      <c r="O6">
        <v>3485</v>
      </c>
      <c r="P6" t="s">
        <v>212</v>
      </c>
      <c r="Q6" s="63" t="s">
        <v>203</v>
      </c>
      <c r="T6" t="s">
        <v>405</v>
      </c>
    </row>
    <row r="7" spans="1:20" ht="112">
      <c r="B7" s="63" t="s">
        <v>21</v>
      </c>
      <c r="C7" t="s">
        <v>22</v>
      </c>
      <c r="D7" t="s">
        <v>17</v>
      </c>
      <c r="E7" t="s">
        <v>23</v>
      </c>
      <c r="F7" t="s">
        <v>199</v>
      </c>
      <c r="G7">
        <v>0</v>
      </c>
      <c r="H7">
        <v>70</v>
      </c>
      <c r="I7">
        <v>70</v>
      </c>
      <c r="J7">
        <v>140</v>
      </c>
      <c r="K7">
        <v>250</v>
      </c>
      <c r="L7">
        <v>10</v>
      </c>
      <c r="M7">
        <v>70</v>
      </c>
      <c r="N7">
        <v>885</v>
      </c>
      <c r="O7">
        <v>5935</v>
      </c>
      <c r="P7" t="s">
        <v>212</v>
      </c>
    </row>
    <row r="8" spans="1:20" ht="144">
      <c r="A8" t="s">
        <v>206</v>
      </c>
      <c r="B8" t="s">
        <v>24</v>
      </c>
      <c r="C8" s="63" t="s">
        <v>25</v>
      </c>
      <c r="D8" t="s">
        <v>26</v>
      </c>
      <c r="E8" t="s">
        <v>27</v>
      </c>
      <c r="F8" t="s">
        <v>199</v>
      </c>
      <c r="G8">
        <v>0</v>
      </c>
      <c r="H8">
        <v>70</v>
      </c>
      <c r="I8">
        <v>70</v>
      </c>
      <c r="J8">
        <v>140</v>
      </c>
      <c r="K8">
        <v>300</v>
      </c>
      <c r="L8">
        <v>30</v>
      </c>
      <c r="M8">
        <v>70</v>
      </c>
      <c r="N8">
        <v>2785</v>
      </c>
      <c r="O8">
        <v>6200</v>
      </c>
      <c r="P8" t="s">
        <v>212</v>
      </c>
      <c r="Q8" t="s">
        <v>116</v>
      </c>
    </row>
    <row r="9" spans="1:20" ht="144">
      <c r="B9" t="s">
        <v>28</v>
      </c>
      <c r="C9" s="63" t="s">
        <v>25</v>
      </c>
      <c r="D9" t="s">
        <v>29</v>
      </c>
      <c r="E9" t="s">
        <v>27</v>
      </c>
      <c r="F9" t="s">
        <v>199</v>
      </c>
      <c r="G9">
        <v>3</v>
      </c>
      <c r="H9">
        <v>70</v>
      </c>
      <c r="I9">
        <v>80</v>
      </c>
      <c r="J9">
        <v>160</v>
      </c>
      <c r="K9">
        <v>1000</v>
      </c>
      <c r="L9">
        <v>50</v>
      </c>
      <c r="M9">
        <v>75</v>
      </c>
      <c r="N9">
        <v>2785</v>
      </c>
      <c r="O9">
        <v>6500</v>
      </c>
      <c r="P9" t="s">
        <v>212</v>
      </c>
    </row>
    <row r="10" spans="1:20" ht="144">
      <c r="B10" t="s">
        <v>15</v>
      </c>
      <c r="C10" s="63" t="s">
        <v>25</v>
      </c>
      <c r="D10" t="s">
        <v>17</v>
      </c>
      <c r="E10" t="s">
        <v>27</v>
      </c>
      <c r="F10" t="s">
        <v>199</v>
      </c>
      <c r="G10">
        <v>3</v>
      </c>
      <c r="H10">
        <v>70</v>
      </c>
      <c r="I10">
        <v>70</v>
      </c>
      <c r="J10">
        <v>140</v>
      </c>
      <c r="K10">
        <v>400</v>
      </c>
      <c r="L10">
        <v>10</v>
      </c>
      <c r="M10">
        <v>70</v>
      </c>
      <c r="N10">
        <v>2785</v>
      </c>
      <c r="O10">
        <v>4849</v>
      </c>
      <c r="P10" t="s">
        <v>212</v>
      </c>
    </row>
    <row r="12" spans="1:20" ht="240">
      <c r="A12" t="s">
        <v>305</v>
      </c>
      <c r="B12" t="s">
        <v>33</v>
      </c>
      <c r="C12" s="63" t="s">
        <v>34</v>
      </c>
      <c r="D12" t="s">
        <v>17</v>
      </c>
      <c r="E12" t="s">
        <v>79</v>
      </c>
      <c r="F12" t="s">
        <v>199</v>
      </c>
      <c r="G12">
        <v>1</v>
      </c>
      <c r="H12">
        <v>70</v>
      </c>
      <c r="I12">
        <v>70</v>
      </c>
      <c r="J12">
        <v>140</v>
      </c>
      <c r="K12">
        <v>400</v>
      </c>
      <c r="L12">
        <v>10</v>
      </c>
      <c r="M12">
        <v>70</v>
      </c>
      <c r="N12">
        <v>2200</v>
      </c>
      <c r="O12">
        <v>3635</v>
      </c>
      <c r="P12" t="s">
        <v>212</v>
      </c>
      <c r="Q12" s="63" t="s">
        <v>213</v>
      </c>
      <c r="R12">
        <v>5230</v>
      </c>
      <c r="S12">
        <v>6595</v>
      </c>
      <c r="T12" t="s">
        <v>406</v>
      </c>
    </row>
    <row r="13" spans="1:20" ht="192">
      <c r="B13" t="s">
        <v>64</v>
      </c>
      <c r="C13" s="63" t="s">
        <v>34</v>
      </c>
      <c r="D13" t="s">
        <v>29</v>
      </c>
      <c r="E13" t="s">
        <v>79</v>
      </c>
      <c r="F13" t="s">
        <v>199</v>
      </c>
      <c r="G13">
        <v>3</v>
      </c>
      <c r="H13">
        <v>70</v>
      </c>
      <c r="I13">
        <v>70</v>
      </c>
      <c r="J13">
        <v>140</v>
      </c>
      <c r="K13">
        <v>300</v>
      </c>
      <c r="L13">
        <v>250</v>
      </c>
      <c r="M13">
        <v>70</v>
      </c>
      <c r="N13">
        <v>2200</v>
      </c>
      <c r="O13">
        <v>4500</v>
      </c>
      <c r="P13" t="s">
        <v>131</v>
      </c>
      <c r="R13">
        <v>4580</v>
      </c>
      <c r="S13">
        <v>7600</v>
      </c>
    </row>
    <row r="14" spans="1:20" ht="192">
      <c r="B14" t="s">
        <v>74</v>
      </c>
      <c r="C14" s="63" t="s">
        <v>34</v>
      </c>
      <c r="D14" t="s">
        <v>56</v>
      </c>
      <c r="E14" t="s">
        <v>79</v>
      </c>
      <c r="F14" t="s">
        <v>199</v>
      </c>
      <c r="G14">
        <v>0.5</v>
      </c>
      <c r="H14">
        <v>70</v>
      </c>
      <c r="I14">
        <v>70</v>
      </c>
      <c r="J14">
        <v>140</v>
      </c>
      <c r="K14">
        <v>300</v>
      </c>
      <c r="L14">
        <v>250</v>
      </c>
      <c r="M14">
        <v>70</v>
      </c>
      <c r="N14">
        <v>2200</v>
      </c>
      <c r="O14">
        <v>4500</v>
      </c>
      <c r="P14" t="s">
        <v>131</v>
      </c>
      <c r="R14">
        <v>5390</v>
      </c>
      <c r="S14">
        <v>7600</v>
      </c>
    </row>
    <row r="16" spans="1:20" ht="160">
      <c r="A16" t="s">
        <v>40</v>
      </c>
      <c r="B16" t="s">
        <v>37</v>
      </c>
      <c r="C16" t="s">
        <v>38</v>
      </c>
      <c r="D16" t="s">
        <v>17</v>
      </c>
      <c r="E16" t="s">
        <v>39</v>
      </c>
      <c r="F16" t="s">
        <v>199</v>
      </c>
      <c r="G16">
        <v>1</v>
      </c>
      <c r="H16">
        <v>70</v>
      </c>
      <c r="I16">
        <v>70</v>
      </c>
      <c r="J16">
        <v>140</v>
      </c>
      <c r="K16">
        <v>250</v>
      </c>
      <c r="L16">
        <v>10</v>
      </c>
      <c r="M16">
        <v>70</v>
      </c>
      <c r="N16">
        <v>800</v>
      </c>
      <c r="O16">
        <v>490</v>
      </c>
      <c r="P16" t="s">
        <v>143</v>
      </c>
      <c r="Q16" s="63" t="s">
        <v>217</v>
      </c>
      <c r="R16">
        <v>1725</v>
      </c>
      <c r="S16">
        <v>1900</v>
      </c>
      <c r="T16" t="s">
        <v>406</v>
      </c>
    </row>
    <row r="17" spans="1:20" ht="256">
      <c r="B17" t="s">
        <v>41</v>
      </c>
      <c r="C17" s="63" t="s">
        <v>42</v>
      </c>
      <c r="D17" t="s">
        <v>17</v>
      </c>
      <c r="E17" t="s">
        <v>39</v>
      </c>
      <c r="F17" t="s">
        <v>199</v>
      </c>
      <c r="G17">
        <v>3</v>
      </c>
      <c r="H17">
        <v>70</v>
      </c>
      <c r="I17">
        <v>70</v>
      </c>
      <c r="J17">
        <v>140</v>
      </c>
      <c r="K17">
        <v>250</v>
      </c>
      <c r="L17">
        <v>10</v>
      </c>
      <c r="M17">
        <v>70</v>
      </c>
      <c r="N17">
        <v>800</v>
      </c>
      <c r="O17">
        <v>490</v>
      </c>
      <c r="P17" t="s">
        <v>143</v>
      </c>
      <c r="R17">
        <v>1717</v>
      </c>
      <c r="S17">
        <v>1900</v>
      </c>
    </row>
    <row r="18" spans="1:20">
      <c r="B18" t="s">
        <v>43</v>
      </c>
      <c r="C18" t="s">
        <v>38</v>
      </c>
      <c r="D18" t="s">
        <v>44</v>
      </c>
      <c r="E18" t="s">
        <v>39</v>
      </c>
      <c r="F18" t="s">
        <v>199</v>
      </c>
      <c r="G18">
        <v>0.5</v>
      </c>
      <c r="H18">
        <v>70</v>
      </c>
      <c r="I18">
        <v>70</v>
      </c>
      <c r="J18">
        <v>140</v>
      </c>
      <c r="K18">
        <v>420</v>
      </c>
      <c r="L18">
        <v>30</v>
      </c>
      <c r="M18">
        <v>70</v>
      </c>
      <c r="N18">
        <v>800</v>
      </c>
      <c r="O18">
        <v>300</v>
      </c>
      <c r="P18" t="s">
        <v>143</v>
      </c>
      <c r="R18">
        <v>2062</v>
      </c>
      <c r="S18">
        <v>1900</v>
      </c>
    </row>
    <row r="19" spans="1:20" ht="256">
      <c r="B19" t="s">
        <v>45</v>
      </c>
      <c r="C19" s="63" t="s">
        <v>42</v>
      </c>
      <c r="D19" t="s">
        <v>46</v>
      </c>
      <c r="E19" t="s">
        <v>39</v>
      </c>
      <c r="F19" t="s">
        <v>199</v>
      </c>
      <c r="G19">
        <v>0.5</v>
      </c>
      <c r="H19">
        <v>70</v>
      </c>
      <c r="I19">
        <v>70</v>
      </c>
      <c r="J19">
        <v>140</v>
      </c>
      <c r="K19">
        <v>420</v>
      </c>
      <c r="L19">
        <v>30</v>
      </c>
      <c r="M19">
        <v>70</v>
      </c>
      <c r="N19">
        <v>800</v>
      </c>
      <c r="O19">
        <v>900</v>
      </c>
      <c r="P19" t="s">
        <v>131</v>
      </c>
      <c r="R19">
        <v>1956</v>
      </c>
      <c r="S19">
        <v>2500</v>
      </c>
    </row>
    <row r="20" spans="1:20" ht="256">
      <c r="B20" s="63" t="s">
        <v>42</v>
      </c>
      <c r="C20" s="63" t="s">
        <v>34</v>
      </c>
      <c r="D20" t="s">
        <v>39</v>
      </c>
      <c r="E20" t="s">
        <v>79</v>
      </c>
      <c r="F20" t="s">
        <v>224</v>
      </c>
      <c r="G20">
        <v>6</v>
      </c>
      <c r="H20">
        <v>70</v>
      </c>
      <c r="I20">
        <v>70</v>
      </c>
      <c r="J20">
        <v>140</v>
      </c>
      <c r="K20">
        <v>300</v>
      </c>
      <c r="L20">
        <v>30</v>
      </c>
      <c r="M20">
        <v>70</v>
      </c>
      <c r="N20">
        <v>2200</v>
      </c>
      <c r="O20">
        <v>4800</v>
      </c>
      <c r="P20" t="s">
        <v>131</v>
      </c>
      <c r="R20">
        <v>5600</v>
      </c>
      <c r="S20">
        <v>7680</v>
      </c>
    </row>
    <row r="22" spans="1:20" ht="409.6">
      <c r="A22" t="s">
        <v>48</v>
      </c>
      <c r="B22" s="63" t="s">
        <v>47</v>
      </c>
      <c r="C22" t="s">
        <v>15</v>
      </c>
      <c r="D22" t="s">
        <v>56</v>
      </c>
      <c r="E22" t="s">
        <v>17</v>
      </c>
      <c r="F22" t="s">
        <v>199</v>
      </c>
      <c r="G22">
        <v>2</v>
      </c>
      <c r="H22">
        <v>70</v>
      </c>
      <c r="I22">
        <v>50</v>
      </c>
      <c r="J22">
        <v>260</v>
      </c>
      <c r="K22">
        <v>325</v>
      </c>
      <c r="L22">
        <v>90</v>
      </c>
      <c r="M22">
        <v>80</v>
      </c>
      <c r="N22">
        <v>600</v>
      </c>
      <c r="O22">
        <v>1</v>
      </c>
      <c r="P22" t="s">
        <v>212</v>
      </c>
      <c r="Q22" s="63" t="s">
        <v>407</v>
      </c>
      <c r="T22" t="s">
        <v>408</v>
      </c>
    </row>
    <row r="23" spans="1:20" ht="144">
      <c r="B23" s="63" t="s">
        <v>49</v>
      </c>
      <c r="C23" t="s">
        <v>15</v>
      </c>
      <c r="D23" t="s">
        <v>227</v>
      </c>
      <c r="E23" t="s">
        <v>17</v>
      </c>
      <c r="F23" t="s">
        <v>199</v>
      </c>
      <c r="G23">
        <v>2</v>
      </c>
      <c r="H23">
        <v>70</v>
      </c>
      <c r="I23">
        <v>35</v>
      </c>
      <c r="J23">
        <v>145</v>
      </c>
      <c r="K23">
        <v>350</v>
      </c>
      <c r="L23">
        <v>150</v>
      </c>
      <c r="M23">
        <v>50</v>
      </c>
      <c r="N23">
        <v>600</v>
      </c>
      <c r="O23">
        <v>1</v>
      </c>
      <c r="P23" t="s">
        <v>212</v>
      </c>
      <c r="R23" t="s">
        <v>409</v>
      </c>
    </row>
    <row r="25" spans="1:20">
      <c r="A25" t="s">
        <v>53</v>
      </c>
      <c r="B25" t="s">
        <v>40</v>
      </c>
      <c r="C25" t="s">
        <v>229</v>
      </c>
      <c r="D25" t="s">
        <v>39</v>
      </c>
      <c r="E25" t="s">
        <v>105</v>
      </c>
      <c r="F25" t="s">
        <v>230</v>
      </c>
      <c r="G25">
        <v>11</v>
      </c>
      <c r="H25">
        <v>70</v>
      </c>
      <c r="I25">
        <v>50</v>
      </c>
      <c r="J25">
        <v>260</v>
      </c>
      <c r="K25">
        <v>250</v>
      </c>
      <c r="L25">
        <v>90</v>
      </c>
      <c r="M25">
        <v>80</v>
      </c>
      <c r="N25" t="s">
        <v>169</v>
      </c>
      <c r="O25">
        <v>3050</v>
      </c>
      <c r="P25" t="s">
        <v>141</v>
      </c>
      <c r="Q25" s="63" t="s">
        <v>410</v>
      </c>
    </row>
    <row r="26" spans="1:20">
      <c r="B26" t="s">
        <v>101</v>
      </c>
      <c r="C26" t="s">
        <v>233</v>
      </c>
      <c r="D26" t="s">
        <v>56</v>
      </c>
      <c r="E26" t="s">
        <v>105</v>
      </c>
      <c r="F26" t="s">
        <v>230</v>
      </c>
      <c r="G26">
        <v>3</v>
      </c>
      <c r="H26">
        <v>70</v>
      </c>
      <c r="I26">
        <v>50</v>
      </c>
      <c r="J26">
        <v>260</v>
      </c>
      <c r="K26">
        <v>325</v>
      </c>
      <c r="L26">
        <v>90</v>
      </c>
      <c r="M26">
        <v>80</v>
      </c>
      <c r="N26" t="s">
        <v>169</v>
      </c>
      <c r="O26">
        <v>2995</v>
      </c>
      <c r="P26" t="s">
        <v>141</v>
      </c>
    </row>
    <row r="27" spans="1:20">
      <c r="B27" t="s">
        <v>94</v>
      </c>
      <c r="C27" t="s">
        <v>235</v>
      </c>
      <c r="D27" t="s">
        <v>39</v>
      </c>
      <c r="E27" t="s">
        <v>105</v>
      </c>
      <c r="F27" t="s">
        <v>230</v>
      </c>
      <c r="G27">
        <v>0.5</v>
      </c>
      <c r="H27">
        <v>70</v>
      </c>
      <c r="I27">
        <v>50</v>
      </c>
      <c r="J27">
        <v>260</v>
      </c>
      <c r="K27">
        <v>250</v>
      </c>
      <c r="L27">
        <v>90</v>
      </c>
      <c r="M27">
        <v>80</v>
      </c>
      <c r="N27" t="s">
        <v>169</v>
      </c>
      <c r="O27">
        <v>3200</v>
      </c>
      <c r="P27" t="s">
        <v>141</v>
      </c>
      <c r="R27" t="s">
        <v>411</v>
      </c>
      <c r="T27" t="s">
        <v>412</v>
      </c>
    </row>
    <row r="28" spans="1:20">
      <c r="B28" t="s">
        <v>102</v>
      </c>
      <c r="C28" t="s">
        <v>233</v>
      </c>
      <c r="D28" t="s">
        <v>29</v>
      </c>
      <c r="E28" t="s">
        <v>105</v>
      </c>
      <c r="F28" t="s">
        <v>230</v>
      </c>
      <c r="G28">
        <v>2</v>
      </c>
      <c r="H28">
        <v>70</v>
      </c>
      <c r="I28">
        <v>80</v>
      </c>
      <c r="J28">
        <v>160</v>
      </c>
      <c r="K28">
        <v>1000</v>
      </c>
      <c r="L28">
        <v>50</v>
      </c>
      <c r="M28">
        <v>75</v>
      </c>
      <c r="N28" t="s">
        <v>169</v>
      </c>
      <c r="O28">
        <v>2500</v>
      </c>
      <c r="P28" t="s">
        <v>140</v>
      </c>
    </row>
    <row r="29" spans="1:20">
      <c r="B29" t="s">
        <v>103</v>
      </c>
      <c r="C29" t="s">
        <v>233</v>
      </c>
      <c r="D29" t="s">
        <v>227</v>
      </c>
      <c r="E29" t="s">
        <v>105</v>
      </c>
      <c r="F29" t="s">
        <v>230</v>
      </c>
      <c r="G29">
        <v>1</v>
      </c>
      <c r="H29">
        <v>70</v>
      </c>
      <c r="I29">
        <v>35</v>
      </c>
      <c r="J29">
        <v>145</v>
      </c>
      <c r="K29">
        <v>350</v>
      </c>
      <c r="L29">
        <v>150</v>
      </c>
      <c r="M29">
        <v>50</v>
      </c>
      <c r="N29" t="s">
        <v>169</v>
      </c>
      <c r="O29">
        <v>2800</v>
      </c>
      <c r="P29" t="s">
        <v>140</v>
      </c>
    </row>
    <row r="30" spans="1:20">
      <c r="B30" t="s">
        <v>82</v>
      </c>
      <c r="C30" t="s">
        <v>235</v>
      </c>
      <c r="D30" t="s">
        <v>17</v>
      </c>
      <c r="E30" t="s">
        <v>105</v>
      </c>
      <c r="F30" t="s">
        <v>230</v>
      </c>
      <c r="G30">
        <v>2</v>
      </c>
      <c r="H30">
        <v>70</v>
      </c>
      <c r="I30">
        <v>70</v>
      </c>
      <c r="J30">
        <v>145</v>
      </c>
      <c r="K30">
        <v>550</v>
      </c>
      <c r="L30">
        <v>15</v>
      </c>
      <c r="M30">
        <v>60</v>
      </c>
      <c r="N30" t="s">
        <v>169</v>
      </c>
      <c r="O30">
        <v>2695</v>
      </c>
      <c r="P30" t="s">
        <v>141</v>
      </c>
    </row>
    <row r="31" spans="1:20">
      <c r="B31" t="s">
        <v>83</v>
      </c>
      <c r="C31" t="s">
        <v>235</v>
      </c>
      <c r="D31" t="s">
        <v>17</v>
      </c>
      <c r="E31" t="s">
        <v>105</v>
      </c>
      <c r="F31" t="s">
        <v>230</v>
      </c>
      <c r="G31">
        <v>1</v>
      </c>
      <c r="H31">
        <v>70</v>
      </c>
      <c r="I31">
        <v>70</v>
      </c>
      <c r="J31">
        <v>145</v>
      </c>
      <c r="K31">
        <v>550</v>
      </c>
      <c r="L31">
        <v>15</v>
      </c>
      <c r="M31">
        <v>60</v>
      </c>
      <c r="N31" t="s">
        <v>169</v>
      </c>
      <c r="O31">
        <v>2695</v>
      </c>
      <c r="P31" t="s">
        <v>141</v>
      </c>
    </row>
    <row r="32" spans="1:20">
      <c r="B32" t="s">
        <v>84</v>
      </c>
      <c r="C32" t="s">
        <v>235</v>
      </c>
      <c r="D32" t="s">
        <v>17</v>
      </c>
      <c r="E32" t="s">
        <v>105</v>
      </c>
      <c r="F32" t="s">
        <v>230</v>
      </c>
      <c r="G32">
        <v>1</v>
      </c>
      <c r="H32">
        <v>70</v>
      </c>
      <c r="I32">
        <v>70</v>
      </c>
      <c r="J32">
        <v>145</v>
      </c>
      <c r="K32">
        <v>550</v>
      </c>
      <c r="L32">
        <v>15</v>
      </c>
      <c r="M32">
        <v>60</v>
      </c>
      <c r="N32" t="s">
        <v>169</v>
      </c>
      <c r="O32">
        <v>2695</v>
      </c>
      <c r="P32" t="s">
        <v>141</v>
      </c>
    </row>
    <row r="33" spans="2:16">
      <c r="B33" t="s">
        <v>85</v>
      </c>
      <c r="C33" t="s">
        <v>235</v>
      </c>
      <c r="D33" t="s">
        <v>17</v>
      </c>
      <c r="E33" t="s">
        <v>105</v>
      </c>
      <c r="F33" t="s">
        <v>230</v>
      </c>
      <c r="G33">
        <v>2</v>
      </c>
      <c r="H33">
        <v>70</v>
      </c>
      <c r="I33">
        <v>70</v>
      </c>
      <c r="J33">
        <v>145</v>
      </c>
      <c r="K33">
        <v>250</v>
      </c>
      <c r="L33">
        <v>15</v>
      </c>
      <c r="M33">
        <v>60</v>
      </c>
      <c r="N33" t="s">
        <v>169</v>
      </c>
      <c r="O33">
        <v>2695</v>
      </c>
      <c r="P33" t="s">
        <v>141</v>
      </c>
    </row>
    <row r="34" spans="2:16">
      <c r="B34" t="s">
        <v>86</v>
      </c>
      <c r="C34" t="s">
        <v>235</v>
      </c>
      <c r="D34" t="s">
        <v>17</v>
      </c>
      <c r="E34" t="s">
        <v>105</v>
      </c>
      <c r="F34" t="s">
        <v>230</v>
      </c>
      <c r="G34">
        <v>2</v>
      </c>
      <c r="H34">
        <v>70</v>
      </c>
      <c r="I34">
        <v>70</v>
      </c>
      <c r="J34">
        <v>145</v>
      </c>
      <c r="K34">
        <v>200</v>
      </c>
      <c r="L34">
        <v>15</v>
      </c>
      <c r="M34">
        <v>50</v>
      </c>
      <c r="N34" t="s">
        <v>169</v>
      </c>
      <c r="O34">
        <v>2695</v>
      </c>
      <c r="P34" t="s">
        <v>141</v>
      </c>
    </row>
    <row r="35" spans="2:16">
      <c r="B35" t="s">
        <v>87</v>
      </c>
      <c r="C35" t="s">
        <v>235</v>
      </c>
      <c r="D35" t="s">
        <v>17</v>
      </c>
      <c r="E35" t="s">
        <v>105</v>
      </c>
      <c r="F35" t="s">
        <v>230</v>
      </c>
      <c r="G35">
        <v>0.5</v>
      </c>
      <c r="H35">
        <v>70</v>
      </c>
      <c r="I35">
        <v>70</v>
      </c>
      <c r="J35">
        <v>145</v>
      </c>
      <c r="K35">
        <v>1550</v>
      </c>
      <c r="L35">
        <v>15</v>
      </c>
      <c r="M35">
        <v>60</v>
      </c>
      <c r="N35" t="s">
        <v>169</v>
      </c>
      <c r="O35">
        <v>2695</v>
      </c>
      <c r="P35" t="s">
        <v>141</v>
      </c>
    </row>
    <row r="36" spans="2:16">
      <c r="B36" t="s">
        <v>97</v>
      </c>
      <c r="C36" t="s">
        <v>233</v>
      </c>
      <c r="D36" t="s">
        <v>17</v>
      </c>
      <c r="E36" t="s">
        <v>105</v>
      </c>
      <c r="F36" t="s">
        <v>230</v>
      </c>
      <c r="G36">
        <v>4</v>
      </c>
      <c r="H36">
        <v>70</v>
      </c>
      <c r="I36">
        <v>70</v>
      </c>
      <c r="J36">
        <v>145</v>
      </c>
      <c r="K36">
        <v>350</v>
      </c>
      <c r="L36">
        <v>15</v>
      </c>
      <c r="M36">
        <v>60</v>
      </c>
      <c r="N36" t="s">
        <v>169</v>
      </c>
      <c r="O36">
        <v>2695</v>
      </c>
      <c r="P36" t="s">
        <v>141</v>
      </c>
    </row>
    <row r="37" spans="2:16">
      <c r="B37" t="s">
        <v>98</v>
      </c>
      <c r="C37" t="s">
        <v>233</v>
      </c>
      <c r="D37" t="s">
        <v>17</v>
      </c>
      <c r="E37" t="s">
        <v>105</v>
      </c>
      <c r="F37" t="s">
        <v>230</v>
      </c>
      <c r="G37">
        <v>1</v>
      </c>
      <c r="H37">
        <v>70</v>
      </c>
      <c r="I37">
        <v>70</v>
      </c>
      <c r="J37">
        <v>145</v>
      </c>
      <c r="K37">
        <v>50</v>
      </c>
      <c r="L37">
        <v>15</v>
      </c>
      <c r="M37">
        <v>60</v>
      </c>
      <c r="N37" t="s">
        <v>169</v>
      </c>
      <c r="O37">
        <v>2695</v>
      </c>
      <c r="P37" t="s">
        <v>141</v>
      </c>
    </row>
    <row r="38" spans="2:16">
      <c r="B38" t="s">
        <v>99</v>
      </c>
      <c r="C38" t="s">
        <v>233</v>
      </c>
      <c r="D38" t="s">
        <v>17</v>
      </c>
      <c r="E38" t="s">
        <v>105</v>
      </c>
      <c r="F38" t="s">
        <v>230</v>
      </c>
      <c r="G38">
        <v>2</v>
      </c>
      <c r="H38">
        <v>70</v>
      </c>
      <c r="I38">
        <v>70</v>
      </c>
      <c r="J38">
        <v>145</v>
      </c>
      <c r="K38">
        <v>550</v>
      </c>
      <c r="L38">
        <v>15</v>
      </c>
      <c r="M38">
        <v>60</v>
      </c>
      <c r="N38" t="s">
        <v>169</v>
      </c>
      <c r="O38">
        <v>2695</v>
      </c>
      <c r="P38" t="s">
        <v>141</v>
      </c>
    </row>
    <row r="39" spans="2:16">
      <c r="B39" t="s">
        <v>100</v>
      </c>
      <c r="C39" t="s">
        <v>233</v>
      </c>
      <c r="D39" t="s">
        <v>17</v>
      </c>
      <c r="E39" t="s">
        <v>105</v>
      </c>
      <c r="F39" t="s">
        <v>230</v>
      </c>
      <c r="G39">
        <v>2</v>
      </c>
      <c r="H39">
        <v>70</v>
      </c>
      <c r="I39">
        <v>70</v>
      </c>
      <c r="J39">
        <v>145</v>
      </c>
      <c r="K39">
        <v>1500</v>
      </c>
      <c r="L39">
        <v>15</v>
      </c>
      <c r="M39">
        <v>60</v>
      </c>
      <c r="N39" t="s">
        <v>169</v>
      </c>
      <c r="O39">
        <v>2695</v>
      </c>
      <c r="P39" t="s">
        <v>141</v>
      </c>
    </row>
    <row r="40" spans="2:16">
      <c r="B40" t="s">
        <v>413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EC0FD-B71B-474C-B88B-2B7C5C7EEC14}">
  <dimension ref="A1:S39"/>
  <sheetViews>
    <sheetView workbookViewId="0"/>
  </sheetViews>
  <sheetFormatPr baseColWidth="10" defaultRowHeight="15"/>
  <sheetData>
    <row r="1" spans="1:19">
      <c r="A1" t="s">
        <v>253</v>
      </c>
      <c r="B1" t="s">
        <v>1</v>
      </c>
      <c r="C1" t="s">
        <v>2</v>
      </c>
      <c r="D1" t="s">
        <v>254</v>
      </c>
      <c r="E1" t="s">
        <v>255</v>
      </c>
      <c r="F1" t="s">
        <v>190</v>
      </c>
      <c r="G1" t="s">
        <v>191</v>
      </c>
      <c r="H1" t="s">
        <v>327</v>
      </c>
      <c r="I1" t="s">
        <v>328</v>
      </c>
      <c r="J1" t="s">
        <v>258</v>
      </c>
      <c r="K1" t="s">
        <v>259</v>
      </c>
      <c r="L1" t="s">
        <v>260</v>
      </c>
      <c r="M1" t="s">
        <v>261</v>
      </c>
      <c r="N1" t="s">
        <v>291</v>
      </c>
      <c r="O1" t="s">
        <v>329</v>
      </c>
      <c r="P1" t="s">
        <v>262</v>
      </c>
      <c r="Q1" t="s">
        <v>263</v>
      </c>
      <c r="R1" t="s">
        <v>264</v>
      </c>
      <c r="S1" t="s">
        <v>293</v>
      </c>
    </row>
    <row r="2" spans="1:19">
      <c r="A2" t="s">
        <v>358</v>
      </c>
    </row>
    <row r="3" spans="1:19">
      <c r="A3" t="s">
        <v>192</v>
      </c>
      <c r="B3" t="s">
        <v>15</v>
      </c>
      <c r="C3" t="s">
        <v>330</v>
      </c>
      <c r="D3" t="s">
        <v>17</v>
      </c>
      <c r="E3" t="s">
        <v>31</v>
      </c>
      <c r="F3" t="s">
        <v>194</v>
      </c>
      <c r="G3">
        <v>16</v>
      </c>
      <c r="H3">
        <v>70</v>
      </c>
      <c r="I3">
        <v>70</v>
      </c>
      <c r="J3">
        <v>140</v>
      </c>
      <c r="K3">
        <v>400</v>
      </c>
      <c r="L3">
        <v>10</v>
      </c>
      <c r="M3">
        <v>70</v>
      </c>
      <c r="N3">
        <v>760</v>
      </c>
      <c r="O3">
        <v>950</v>
      </c>
      <c r="P3">
        <v>2200</v>
      </c>
      <c r="R3">
        <v>3910</v>
      </c>
      <c r="S3" t="s">
        <v>359</v>
      </c>
    </row>
    <row r="4" spans="1:19">
      <c r="A4" t="s">
        <v>192</v>
      </c>
      <c r="B4" t="s">
        <v>128</v>
      </c>
      <c r="C4" t="s">
        <v>330</v>
      </c>
      <c r="D4" t="s">
        <v>17</v>
      </c>
      <c r="E4" t="s">
        <v>31</v>
      </c>
      <c r="F4" t="s">
        <v>199</v>
      </c>
      <c r="G4">
        <v>2</v>
      </c>
      <c r="H4">
        <v>70</v>
      </c>
      <c r="I4">
        <v>70</v>
      </c>
      <c r="J4">
        <v>140</v>
      </c>
      <c r="K4">
        <v>200</v>
      </c>
      <c r="L4">
        <v>20</v>
      </c>
      <c r="M4">
        <v>50</v>
      </c>
      <c r="N4">
        <v>550</v>
      </c>
      <c r="O4">
        <v>950</v>
      </c>
      <c r="P4">
        <v>2650</v>
      </c>
      <c r="R4">
        <v>4150</v>
      </c>
      <c r="S4" t="s">
        <v>140</v>
      </c>
    </row>
    <row r="5" spans="1:19">
      <c r="A5" t="s">
        <v>360</v>
      </c>
    </row>
    <row r="6" spans="1:19">
      <c r="A6" t="s">
        <v>331</v>
      </c>
      <c r="B6" t="s">
        <v>40</v>
      </c>
      <c r="C6" t="s">
        <v>229</v>
      </c>
      <c r="D6" t="s">
        <v>39</v>
      </c>
      <c r="E6" t="s">
        <v>332</v>
      </c>
      <c r="F6" t="s">
        <v>230</v>
      </c>
      <c r="G6">
        <v>9</v>
      </c>
      <c r="H6">
        <v>70</v>
      </c>
      <c r="I6">
        <v>50</v>
      </c>
      <c r="J6">
        <v>260</v>
      </c>
      <c r="K6">
        <v>250</v>
      </c>
      <c r="L6">
        <v>90</v>
      </c>
      <c r="M6">
        <v>80</v>
      </c>
      <c r="N6">
        <v>800</v>
      </c>
      <c r="O6" t="s">
        <v>169</v>
      </c>
      <c r="P6">
        <v>2550</v>
      </c>
      <c r="R6">
        <v>3350</v>
      </c>
      <c r="S6" t="s">
        <v>142</v>
      </c>
    </row>
    <row r="7" spans="1:19">
      <c r="A7" t="s">
        <v>231</v>
      </c>
      <c r="B7" t="s">
        <v>232</v>
      </c>
      <c r="C7" t="s">
        <v>233</v>
      </c>
      <c r="D7" t="s">
        <v>56</v>
      </c>
      <c r="E7" t="s">
        <v>332</v>
      </c>
      <c r="F7" t="s">
        <v>230</v>
      </c>
      <c r="G7">
        <v>4</v>
      </c>
      <c r="H7">
        <v>70</v>
      </c>
      <c r="I7">
        <v>50</v>
      </c>
      <c r="J7">
        <v>260</v>
      </c>
      <c r="K7">
        <v>325</v>
      </c>
      <c r="L7">
        <v>90</v>
      </c>
      <c r="M7">
        <v>80</v>
      </c>
      <c r="N7">
        <v>875</v>
      </c>
      <c r="O7" t="s">
        <v>169</v>
      </c>
      <c r="P7">
        <v>2550</v>
      </c>
      <c r="R7">
        <v>3425</v>
      </c>
      <c r="S7" t="s">
        <v>142</v>
      </c>
    </row>
    <row r="8" spans="1:19">
      <c r="A8" t="s">
        <v>331</v>
      </c>
      <c r="B8" t="s">
        <v>94</v>
      </c>
      <c r="C8" t="s">
        <v>235</v>
      </c>
      <c r="D8" t="s">
        <v>39</v>
      </c>
      <c r="E8" t="s">
        <v>332</v>
      </c>
      <c r="F8" t="s">
        <v>230</v>
      </c>
      <c r="G8">
        <v>0.5</v>
      </c>
      <c r="H8">
        <v>70</v>
      </c>
      <c r="I8">
        <v>50</v>
      </c>
      <c r="J8">
        <v>260</v>
      </c>
      <c r="K8">
        <v>250</v>
      </c>
      <c r="L8">
        <v>90</v>
      </c>
      <c r="M8">
        <v>80</v>
      </c>
      <c r="N8">
        <v>800</v>
      </c>
      <c r="O8" t="s">
        <v>169</v>
      </c>
      <c r="P8">
        <v>2550</v>
      </c>
      <c r="R8">
        <v>3350</v>
      </c>
      <c r="S8" t="s">
        <v>142</v>
      </c>
    </row>
    <row r="9" spans="1:19">
      <c r="A9" t="s">
        <v>333</v>
      </c>
      <c r="B9" t="s">
        <v>102</v>
      </c>
      <c r="C9" t="s">
        <v>233</v>
      </c>
      <c r="D9" t="s">
        <v>29</v>
      </c>
      <c r="E9" t="s">
        <v>332</v>
      </c>
      <c r="F9" t="s">
        <v>230</v>
      </c>
      <c r="G9">
        <v>2</v>
      </c>
      <c r="H9">
        <v>70</v>
      </c>
      <c r="I9">
        <v>80</v>
      </c>
      <c r="J9">
        <v>160</v>
      </c>
      <c r="K9">
        <v>1000</v>
      </c>
      <c r="L9">
        <v>50</v>
      </c>
      <c r="M9">
        <v>75</v>
      </c>
      <c r="N9">
        <v>1435</v>
      </c>
      <c r="O9" t="s">
        <v>169</v>
      </c>
      <c r="P9">
        <v>2500</v>
      </c>
      <c r="R9">
        <v>3935</v>
      </c>
      <c r="S9" t="s">
        <v>140</v>
      </c>
    </row>
    <row r="10" spans="1:19">
      <c r="A10" t="s">
        <v>237</v>
      </c>
      <c r="B10" t="s">
        <v>103</v>
      </c>
      <c r="C10" t="s">
        <v>233</v>
      </c>
      <c r="D10" t="s">
        <v>334</v>
      </c>
      <c r="E10" t="s">
        <v>332</v>
      </c>
      <c r="F10" t="s">
        <v>230</v>
      </c>
      <c r="G10">
        <v>1</v>
      </c>
      <c r="H10">
        <v>70</v>
      </c>
      <c r="I10">
        <v>35</v>
      </c>
      <c r="J10">
        <v>145</v>
      </c>
      <c r="K10">
        <v>350</v>
      </c>
      <c r="L10">
        <v>150</v>
      </c>
      <c r="M10">
        <v>50</v>
      </c>
      <c r="N10">
        <v>800</v>
      </c>
      <c r="O10" t="s">
        <v>169</v>
      </c>
      <c r="P10">
        <v>2500</v>
      </c>
      <c r="R10">
        <v>3300</v>
      </c>
      <c r="S10" t="s">
        <v>142</v>
      </c>
    </row>
    <row r="11" spans="1:19">
      <c r="A11" t="s">
        <v>335</v>
      </c>
      <c r="B11" t="s">
        <v>82</v>
      </c>
      <c r="C11" t="s">
        <v>235</v>
      </c>
      <c r="D11" t="s">
        <v>17</v>
      </c>
      <c r="E11" t="s">
        <v>332</v>
      </c>
      <c r="F11" t="s">
        <v>239</v>
      </c>
      <c r="G11">
        <v>2</v>
      </c>
      <c r="H11">
        <v>70</v>
      </c>
      <c r="I11">
        <v>70</v>
      </c>
      <c r="J11">
        <v>145</v>
      </c>
      <c r="K11">
        <v>550</v>
      </c>
      <c r="L11">
        <v>15</v>
      </c>
      <c r="M11">
        <v>60</v>
      </c>
      <c r="N11">
        <v>910</v>
      </c>
      <c r="O11" t="s">
        <v>169</v>
      </c>
      <c r="P11">
        <v>2250</v>
      </c>
      <c r="R11">
        <v>3160</v>
      </c>
      <c r="S11" t="s">
        <v>142</v>
      </c>
    </row>
    <row r="12" spans="1:19">
      <c r="A12" t="s">
        <v>335</v>
      </c>
      <c r="B12" t="s">
        <v>83</v>
      </c>
      <c r="C12" t="s">
        <v>235</v>
      </c>
      <c r="D12" t="s">
        <v>17</v>
      </c>
      <c r="E12" t="s">
        <v>332</v>
      </c>
      <c r="F12" t="s">
        <v>230</v>
      </c>
      <c r="G12">
        <v>1</v>
      </c>
      <c r="H12">
        <v>70</v>
      </c>
      <c r="I12">
        <v>70</v>
      </c>
      <c r="J12">
        <v>145</v>
      </c>
      <c r="K12">
        <v>550</v>
      </c>
      <c r="L12">
        <v>15</v>
      </c>
      <c r="M12">
        <v>60</v>
      </c>
      <c r="N12">
        <v>910</v>
      </c>
      <c r="O12" t="s">
        <v>169</v>
      </c>
      <c r="P12">
        <v>2250</v>
      </c>
      <c r="R12">
        <v>3160</v>
      </c>
      <c r="S12" t="s">
        <v>142</v>
      </c>
    </row>
    <row r="13" spans="1:19">
      <c r="A13" t="s">
        <v>335</v>
      </c>
      <c r="B13" t="s">
        <v>84</v>
      </c>
      <c r="C13" t="s">
        <v>235</v>
      </c>
      <c r="D13" t="s">
        <v>17</v>
      </c>
      <c r="E13" t="s">
        <v>332</v>
      </c>
      <c r="F13" t="s">
        <v>230</v>
      </c>
      <c r="G13">
        <v>1</v>
      </c>
      <c r="H13">
        <v>70</v>
      </c>
      <c r="I13">
        <v>70</v>
      </c>
      <c r="J13">
        <v>145</v>
      </c>
      <c r="K13">
        <v>550</v>
      </c>
      <c r="L13">
        <v>15</v>
      </c>
      <c r="M13">
        <v>60</v>
      </c>
      <c r="N13">
        <v>910</v>
      </c>
      <c r="O13" t="s">
        <v>169</v>
      </c>
      <c r="P13">
        <v>2250</v>
      </c>
      <c r="R13">
        <v>3160</v>
      </c>
      <c r="S13" t="s">
        <v>142</v>
      </c>
    </row>
    <row r="14" spans="1:19">
      <c r="A14" t="s">
        <v>335</v>
      </c>
      <c r="B14" t="s">
        <v>85</v>
      </c>
      <c r="C14" t="s">
        <v>235</v>
      </c>
      <c r="D14" t="s">
        <v>17</v>
      </c>
      <c r="E14" t="s">
        <v>332</v>
      </c>
      <c r="F14" t="s">
        <v>230</v>
      </c>
      <c r="G14">
        <v>2</v>
      </c>
      <c r="H14">
        <v>70</v>
      </c>
      <c r="I14">
        <v>70</v>
      </c>
      <c r="J14">
        <v>145</v>
      </c>
      <c r="K14">
        <v>250</v>
      </c>
      <c r="L14">
        <v>15</v>
      </c>
      <c r="M14">
        <v>60</v>
      </c>
      <c r="N14">
        <v>610</v>
      </c>
      <c r="O14" t="s">
        <v>169</v>
      </c>
      <c r="P14">
        <v>2250</v>
      </c>
      <c r="R14">
        <v>2860</v>
      </c>
      <c r="S14" t="s">
        <v>142</v>
      </c>
    </row>
    <row r="15" spans="1:19">
      <c r="A15" t="s">
        <v>335</v>
      </c>
      <c r="B15" t="s">
        <v>86</v>
      </c>
      <c r="C15" t="s">
        <v>235</v>
      </c>
      <c r="D15" t="s">
        <v>17</v>
      </c>
      <c r="E15" t="s">
        <v>332</v>
      </c>
      <c r="F15" t="s">
        <v>230</v>
      </c>
      <c r="G15">
        <v>2</v>
      </c>
      <c r="H15">
        <v>70</v>
      </c>
      <c r="I15">
        <v>70</v>
      </c>
      <c r="J15">
        <v>145</v>
      </c>
      <c r="K15">
        <v>200</v>
      </c>
      <c r="L15">
        <v>15</v>
      </c>
      <c r="M15">
        <v>50</v>
      </c>
      <c r="N15">
        <v>550</v>
      </c>
      <c r="O15" t="s">
        <v>169</v>
      </c>
      <c r="P15">
        <v>2300</v>
      </c>
      <c r="R15">
        <v>2850</v>
      </c>
      <c r="S15" t="s">
        <v>140</v>
      </c>
    </row>
    <row r="16" spans="1:19">
      <c r="A16" t="s">
        <v>335</v>
      </c>
      <c r="B16" t="s">
        <v>87</v>
      </c>
      <c r="C16" t="s">
        <v>235</v>
      </c>
      <c r="D16" t="s">
        <v>17</v>
      </c>
      <c r="E16" t="s">
        <v>332</v>
      </c>
      <c r="F16" t="s">
        <v>230</v>
      </c>
      <c r="G16">
        <v>0.5</v>
      </c>
      <c r="H16">
        <v>70</v>
      </c>
      <c r="I16">
        <v>70</v>
      </c>
      <c r="J16">
        <v>145</v>
      </c>
      <c r="K16">
        <v>1550</v>
      </c>
      <c r="L16">
        <v>15</v>
      </c>
      <c r="M16">
        <v>60</v>
      </c>
      <c r="N16">
        <v>1910</v>
      </c>
      <c r="O16" t="s">
        <v>169</v>
      </c>
      <c r="P16">
        <v>2300</v>
      </c>
      <c r="R16">
        <v>4210</v>
      </c>
      <c r="S16" t="s">
        <v>140</v>
      </c>
    </row>
    <row r="17" spans="1:19">
      <c r="A17" t="s">
        <v>335</v>
      </c>
      <c r="B17" t="s">
        <v>97</v>
      </c>
      <c r="C17" t="s">
        <v>233</v>
      </c>
      <c r="D17" t="s">
        <v>17</v>
      </c>
      <c r="E17" t="s">
        <v>332</v>
      </c>
      <c r="F17" t="s">
        <v>230</v>
      </c>
      <c r="G17">
        <v>4</v>
      </c>
      <c r="H17">
        <v>70</v>
      </c>
      <c r="I17">
        <v>70</v>
      </c>
      <c r="J17">
        <v>145</v>
      </c>
      <c r="K17">
        <v>350</v>
      </c>
      <c r="L17">
        <v>15</v>
      </c>
      <c r="M17">
        <v>60</v>
      </c>
      <c r="N17">
        <v>710</v>
      </c>
      <c r="O17" t="s">
        <v>169</v>
      </c>
      <c r="P17">
        <v>2250</v>
      </c>
      <c r="R17">
        <v>2960</v>
      </c>
      <c r="S17" t="s">
        <v>142</v>
      </c>
    </row>
    <row r="18" spans="1:19">
      <c r="A18" t="s">
        <v>335</v>
      </c>
      <c r="B18" t="s">
        <v>98</v>
      </c>
      <c r="C18" t="s">
        <v>233</v>
      </c>
      <c r="D18" t="s">
        <v>17</v>
      </c>
      <c r="E18" t="s">
        <v>332</v>
      </c>
      <c r="F18" t="s">
        <v>239</v>
      </c>
      <c r="G18">
        <v>1</v>
      </c>
      <c r="H18">
        <v>70</v>
      </c>
      <c r="I18">
        <v>70</v>
      </c>
      <c r="J18">
        <v>145</v>
      </c>
      <c r="K18">
        <v>50</v>
      </c>
      <c r="L18">
        <v>15</v>
      </c>
      <c r="M18">
        <v>60</v>
      </c>
      <c r="N18">
        <v>410</v>
      </c>
      <c r="O18" t="s">
        <v>169</v>
      </c>
      <c r="P18">
        <v>2250</v>
      </c>
      <c r="R18">
        <v>2660</v>
      </c>
      <c r="S18" t="s">
        <v>142</v>
      </c>
    </row>
    <row r="19" spans="1:19">
      <c r="A19" t="s">
        <v>335</v>
      </c>
      <c r="B19" t="s">
        <v>99</v>
      </c>
      <c r="C19" t="s">
        <v>233</v>
      </c>
      <c r="D19" t="s">
        <v>17</v>
      </c>
      <c r="E19" t="s">
        <v>332</v>
      </c>
      <c r="F19" t="s">
        <v>230</v>
      </c>
      <c r="G19">
        <v>2</v>
      </c>
      <c r="H19">
        <v>70</v>
      </c>
      <c r="I19">
        <v>70</v>
      </c>
      <c r="J19">
        <v>145</v>
      </c>
      <c r="K19">
        <v>550</v>
      </c>
      <c r="L19">
        <v>15</v>
      </c>
      <c r="M19">
        <v>60</v>
      </c>
      <c r="N19">
        <v>910</v>
      </c>
      <c r="O19" t="s">
        <v>169</v>
      </c>
      <c r="P19">
        <v>2250</v>
      </c>
      <c r="R19">
        <v>3160</v>
      </c>
      <c r="S19" t="s">
        <v>142</v>
      </c>
    </row>
    <row r="20" spans="1:19">
      <c r="A20" t="s">
        <v>335</v>
      </c>
      <c r="B20" t="s">
        <v>100</v>
      </c>
      <c r="C20" t="s">
        <v>233</v>
      </c>
      <c r="D20" t="s">
        <v>17</v>
      </c>
      <c r="E20" t="s">
        <v>332</v>
      </c>
      <c r="F20" t="s">
        <v>230</v>
      </c>
      <c r="G20">
        <v>2</v>
      </c>
      <c r="H20">
        <v>70</v>
      </c>
      <c r="I20">
        <v>70</v>
      </c>
      <c r="J20">
        <v>145</v>
      </c>
      <c r="K20">
        <v>1500</v>
      </c>
      <c r="L20">
        <v>15</v>
      </c>
      <c r="M20">
        <v>60</v>
      </c>
      <c r="N20">
        <v>1860</v>
      </c>
      <c r="O20" t="s">
        <v>169</v>
      </c>
      <c r="P20">
        <v>2300</v>
      </c>
      <c r="R20">
        <v>4160</v>
      </c>
      <c r="S20" t="s">
        <v>140</v>
      </c>
    </row>
    <row r="21" spans="1:19">
      <c r="A21" t="s">
        <v>361</v>
      </c>
    </row>
    <row r="22" spans="1:19">
      <c r="A22" t="s">
        <v>201</v>
      </c>
      <c r="B22" t="s">
        <v>15</v>
      </c>
      <c r="C22" t="s">
        <v>336</v>
      </c>
      <c r="D22" t="s">
        <v>17</v>
      </c>
      <c r="E22" t="s">
        <v>18</v>
      </c>
      <c r="F22" t="s">
        <v>199</v>
      </c>
      <c r="G22">
        <v>2</v>
      </c>
      <c r="H22">
        <v>70</v>
      </c>
      <c r="I22">
        <v>70</v>
      </c>
      <c r="J22">
        <v>140</v>
      </c>
      <c r="K22">
        <v>400</v>
      </c>
      <c r="L22">
        <v>10</v>
      </c>
      <c r="M22">
        <v>70</v>
      </c>
      <c r="N22">
        <v>760</v>
      </c>
      <c r="O22">
        <v>2685</v>
      </c>
      <c r="P22">
        <v>2886</v>
      </c>
      <c r="R22">
        <v>6331</v>
      </c>
      <c r="S22" t="s">
        <v>212</v>
      </c>
    </row>
    <row r="23" spans="1:19">
      <c r="A23" t="s">
        <v>204</v>
      </c>
      <c r="B23" t="s">
        <v>337</v>
      </c>
      <c r="C23" t="s">
        <v>338</v>
      </c>
      <c r="D23" t="s">
        <v>17</v>
      </c>
      <c r="E23" t="s">
        <v>23</v>
      </c>
      <c r="F23" t="s">
        <v>199</v>
      </c>
      <c r="G23">
        <v>2</v>
      </c>
      <c r="H23">
        <v>70</v>
      </c>
      <c r="I23">
        <v>70</v>
      </c>
      <c r="J23">
        <v>140</v>
      </c>
      <c r="K23">
        <v>250</v>
      </c>
      <c r="L23">
        <v>10</v>
      </c>
      <c r="M23">
        <v>70</v>
      </c>
      <c r="N23">
        <v>610</v>
      </c>
      <c r="O23">
        <v>885</v>
      </c>
      <c r="P23">
        <v>3979</v>
      </c>
      <c r="R23">
        <v>5474</v>
      </c>
      <c r="S23" t="s">
        <v>212</v>
      </c>
    </row>
    <row r="24" spans="1:19">
      <c r="A24" t="s">
        <v>339</v>
      </c>
      <c r="B24" t="s">
        <v>24</v>
      </c>
      <c r="C24" t="s">
        <v>340</v>
      </c>
      <c r="D24" t="s">
        <v>26</v>
      </c>
      <c r="E24" t="s">
        <v>27</v>
      </c>
      <c r="F24" t="s">
        <v>199</v>
      </c>
      <c r="G24">
        <v>0</v>
      </c>
      <c r="H24">
        <v>70</v>
      </c>
      <c r="I24">
        <v>70</v>
      </c>
      <c r="J24">
        <v>140</v>
      </c>
      <c r="K24">
        <v>300</v>
      </c>
      <c r="L24">
        <v>30</v>
      </c>
      <c r="M24">
        <v>70</v>
      </c>
      <c r="N24">
        <v>680</v>
      </c>
      <c r="O24">
        <v>2785</v>
      </c>
      <c r="P24">
        <v>3770</v>
      </c>
      <c r="R24">
        <v>7235</v>
      </c>
      <c r="S24" t="s">
        <v>212</v>
      </c>
    </row>
    <row r="25" spans="1:19">
      <c r="A25" t="s">
        <v>341</v>
      </c>
      <c r="B25" t="s">
        <v>28</v>
      </c>
      <c r="C25" t="s">
        <v>340</v>
      </c>
      <c r="D25" t="s">
        <v>29</v>
      </c>
      <c r="E25" t="s">
        <v>27</v>
      </c>
      <c r="F25" t="s">
        <v>199</v>
      </c>
      <c r="G25">
        <v>3</v>
      </c>
      <c r="H25">
        <v>70</v>
      </c>
      <c r="I25">
        <v>80</v>
      </c>
      <c r="J25">
        <v>160</v>
      </c>
      <c r="K25">
        <v>1000</v>
      </c>
      <c r="L25">
        <v>50</v>
      </c>
      <c r="M25">
        <v>75</v>
      </c>
      <c r="N25">
        <v>1435</v>
      </c>
      <c r="O25">
        <v>2785</v>
      </c>
      <c r="P25">
        <v>4737</v>
      </c>
      <c r="R25">
        <v>8957</v>
      </c>
      <c r="S25" t="s">
        <v>212</v>
      </c>
    </row>
    <row r="26" spans="1:19">
      <c r="A26" t="s">
        <v>209</v>
      </c>
      <c r="B26" t="s">
        <v>15</v>
      </c>
      <c r="C26" t="s">
        <v>340</v>
      </c>
      <c r="D26" t="s">
        <v>17</v>
      </c>
      <c r="E26" t="s">
        <v>27</v>
      </c>
      <c r="F26" t="s">
        <v>199</v>
      </c>
      <c r="G26">
        <v>3</v>
      </c>
      <c r="H26">
        <v>70</v>
      </c>
      <c r="I26">
        <v>70</v>
      </c>
      <c r="J26">
        <v>140</v>
      </c>
      <c r="K26">
        <v>400</v>
      </c>
      <c r="L26">
        <v>10</v>
      </c>
      <c r="M26">
        <v>70</v>
      </c>
      <c r="N26">
        <v>760</v>
      </c>
      <c r="O26">
        <v>2785</v>
      </c>
      <c r="P26">
        <v>3168</v>
      </c>
      <c r="R26">
        <v>6713</v>
      </c>
      <c r="S26" t="s">
        <v>212</v>
      </c>
    </row>
    <row r="27" spans="1:19">
      <c r="A27" t="s">
        <v>362</v>
      </c>
    </row>
    <row r="28" spans="1:19">
      <c r="A28" t="s">
        <v>225</v>
      </c>
      <c r="B28" t="s">
        <v>342</v>
      </c>
      <c r="C28" t="s">
        <v>15</v>
      </c>
      <c r="D28" t="s">
        <v>56</v>
      </c>
      <c r="E28" t="s">
        <v>17</v>
      </c>
      <c r="F28" t="s">
        <v>199</v>
      </c>
      <c r="G28">
        <v>0</v>
      </c>
      <c r="H28">
        <v>70</v>
      </c>
      <c r="I28">
        <v>50</v>
      </c>
      <c r="J28">
        <v>260</v>
      </c>
      <c r="K28">
        <v>325</v>
      </c>
      <c r="L28">
        <v>90</v>
      </c>
      <c r="M28">
        <v>80</v>
      </c>
      <c r="N28">
        <v>875</v>
      </c>
      <c r="O28">
        <v>600</v>
      </c>
      <c r="P28">
        <v>1</v>
      </c>
      <c r="R28">
        <v>1476</v>
      </c>
      <c r="S28" t="s">
        <v>131</v>
      </c>
    </row>
    <row r="29" spans="1:19">
      <c r="A29" t="s">
        <v>226</v>
      </c>
      <c r="B29" t="s">
        <v>343</v>
      </c>
      <c r="C29" t="s">
        <v>15</v>
      </c>
      <c r="D29" t="s">
        <v>334</v>
      </c>
      <c r="E29" t="s">
        <v>17</v>
      </c>
      <c r="F29" t="s">
        <v>199</v>
      </c>
      <c r="G29">
        <v>1</v>
      </c>
      <c r="H29">
        <v>70</v>
      </c>
      <c r="I29">
        <v>35</v>
      </c>
      <c r="J29">
        <v>145</v>
      </c>
      <c r="K29">
        <v>350</v>
      </c>
      <c r="L29">
        <v>150</v>
      </c>
      <c r="M29">
        <v>50</v>
      </c>
      <c r="N29">
        <v>800</v>
      </c>
      <c r="O29">
        <v>600</v>
      </c>
      <c r="P29">
        <v>1</v>
      </c>
      <c r="R29">
        <v>1401</v>
      </c>
      <c r="S29" t="s">
        <v>131</v>
      </c>
    </row>
    <row r="30" spans="1:19">
      <c r="A30" t="s">
        <v>363</v>
      </c>
    </row>
    <row r="31" spans="1:19">
      <c r="A31" t="s">
        <v>344</v>
      </c>
      <c r="B31" t="s">
        <v>345</v>
      </c>
      <c r="C31" t="s">
        <v>346</v>
      </c>
      <c r="D31" t="s">
        <v>17</v>
      </c>
      <c r="E31" t="s">
        <v>39</v>
      </c>
      <c r="F31" t="s">
        <v>199</v>
      </c>
      <c r="G31">
        <v>1</v>
      </c>
      <c r="H31">
        <v>70</v>
      </c>
      <c r="I31">
        <v>70</v>
      </c>
      <c r="J31">
        <v>140</v>
      </c>
      <c r="K31">
        <v>250</v>
      </c>
      <c r="L31">
        <v>10</v>
      </c>
      <c r="M31">
        <v>70</v>
      </c>
      <c r="N31">
        <v>610</v>
      </c>
      <c r="O31">
        <v>800</v>
      </c>
      <c r="P31">
        <v>395</v>
      </c>
      <c r="R31">
        <v>1805</v>
      </c>
      <c r="S31" t="s">
        <v>143</v>
      </c>
    </row>
    <row r="32" spans="1:19">
      <c r="A32" t="s">
        <v>344</v>
      </c>
      <c r="B32" t="s">
        <v>347</v>
      </c>
      <c r="C32" t="s">
        <v>348</v>
      </c>
      <c r="D32" t="s">
        <v>17</v>
      </c>
      <c r="E32" t="s">
        <v>39</v>
      </c>
      <c r="F32" t="s">
        <v>199</v>
      </c>
      <c r="G32">
        <v>3</v>
      </c>
      <c r="H32">
        <v>70</v>
      </c>
      <c r="I32">
        <v>70</v>
      </c>
      <c r="J32">
        <v>140</v>
      </c>
      <c r="K32">
        <v>250</v>
      </c>
      <c r="L32">
        <v>10</v>
      </c>
      <c r="M32">
        <v>70</v>
      </c>
      <c r="N32">
        <v>610</v>
      </c>
      <c r="O32">
        <v>800</v>
      </c>
      <c r="P32">
        <v>420</v>
      </c>
      <c r="R32">
        <v>1830</v>
      </c>
      <c r="S32" t="s">
        <v>143</v>
      </c>
    </row>
    <row r="33" spans="1:19">
      <c r="A33" t="s">
        <v>349</v>
      </c>
      <c r="B33" t="s">
        <v>350</v>
      </c>
      <c r="C33" t="s">
        <v>346</v>
      </c>
      <c r="D33" t="s">
        <v>44</v>
      </c>
      <c r="E33" t="s">
        <v>39</v>
      </c>
      <c r="F33" t="s">
        <v>199</v>
      </c>
      <c r="G33">
        <v>0.5</v>
      </c>
      <c r="H33">
        <v>70</v>
      </c>
      <c r="I33">
        <v>70</v>
      </c>
      <c r="J33">
        <v>140</v>
      </c>
      <c r="K33">
        <v>420</v>
      </c>
      <c r="L33">
        <v>30</v>
      </c>
      <c r="M33">
        <v>70</v>
      </c>
      <c r="N33">
        <v>800</v>
      </c>
      <c r="O33">
        <v>800</v>
      </c>
      <c r="P33">
        <v>205</v>
      </c>
      <c r="R33">
        <v>1805</v>
      </c>
      <c r="S33" t="s">
        <v>143</v>
      </c>
    </row>
    <row r="34" spans="1:19">
      <c r="A34" t="s">
        <v>351</v>
      </c>
      <c r="B34" t="s">
        <v>45</v>
      </c>
      <c r="C34" t="s">
        <v>348</v>
      </c>
      <c r="D34" t="s">
        <v>46</v>
      </c>
      <c r="E34" t="s">
        <v>39</v>
      </c>
      <c r="F34" t="s">
        <v>199</v>
      </c>
      <c r="G34">
        <v>0.5</v>
      </c>
      <c r="H34">
        <v>70</v>
      </c>
      <c r="I34">
        <v>70</v>
      </c>
      <c r="J34">
        <v>140</v>
      </c>
      <c r="K34">
        <v>420</v>
      </c>
      <c r="L34">
        <v>30</v>
      </c>
      <c r="M34">
        <v>70</v>
      </c>
      <c r="N34">
        <v>800</v>
      </c>
      <c r="O34">
        <v>800</v>
      </c>
      <c r="P34">
        <v>400</v>
      </c>
      <c r="R34">
        <v>2000</v>
      </c>
      <c r="S34" t="s">
        <v>142</v>
      </c>
    </row>
    <row r="35" spans="1:19">
      <c r="A35" t="s">
        <v>352</v>
      </c>
      <c r="B35" t="s">
        <v>348</v>
      </c>
      <c r="C35" t="s">
        <v>353</v>
      </c>
      <c r="D35" t="s">
        <v>39</v>
      </c>
      <c r="E35" t="s">
        <v>79</v>
      </c>
      <c r="F35" t="s">
        <v>224</v>
      </c>
      <c r="G35">
        <v>6</v>
      </c>
      <c r="H35">
        <v>70</v>
      </c>
      <c r="I35">
        <v>70</v>
      </c>
      <c r="J35">
        <v>140</v>
      </c>
      <c r="K35">
        <v>300</v>
      </c>
      <c r="L35">
        <v>30</v>
      </c>
      <c r="M35">
        <v>70</v>
      </c>
      <c r="N35">
        <v>680</v>
      </c>
      <c r="O35">
        <v>2200</v>
      </c>
      <c r="P35">
        <v>2340</v>
      </c>
      <c r="R35">
        <v>5220</v>
      </c>
      <c r="S35" t="s">
        <v>142</v>
      </c>
    </row>
    <row r="36" spans="1:19">
      <c r="A36" t="s">
        <v>364</v>
      </c>
    </row>
    <row r="37" spans="1:19">
      <c r="A37" t="s">
        <v>211</v>
      </c>
      <c r="B37" t="s">
        <v>354</v>
      </c>
      <c r="C37" t="s">
        <v>353</v>
      </c>
      <c r="D37" t="s">
        <v>17</v>
      </c>
      <c r="E37" t="s">
        <v>79</v>
      </c>
      <c r="F37" t="s">
        <v>199</v>
      </c>
      <c r="G37">
        <v>1</v>
      </c>
      <c r="H37">
        <v>70</v>
      </c>
      <c r="I37">
        <v>70</v>
      </c>
      <c r="J37">
        <v>140</v>
      </c>
      <c r="K37">
        <v>400</v>
      </c>
      <c r="L37">
        <v>10</v>
      </c>
      <c r="M37">
        <v>70</v>
      </c>
      <c r="N37">
        <v>760</v>
      </c>
      <c r="O37">
        <v>2200</v>
      </c>
      <c r="P37">
        <v>1990</v>
      </c>
      <c r="R37">
        <v>4950</v>
      </c>
      <c r="S37" t="s">
        <v>142</v>
      </c>
    </row>
    <row r="38" spans="1:19">
      <c r="A38" t="s">
        <v>355</v>
      </c>
      <c r="B38" t="s">
        <v>64</v>
      </c>
      <c r="C38" t="s">
        <v>353</v>
      </c>
      <c r="D38" t="s">
        <v>29</v>
      </c>
      <c r="E38" t="s">
        <v>79</v>
      </c>
      <c r="F38" t="s">
        <v>199</v>
      </c>
      <c r="G38">
        <v>3</v>
      </c>
      <c r="H38">
        <v>70</v>
      </c>
      <c r="I38">
        <v>70</v>
      </c>
      <c r="J38">
        <v>140</v>
      </c>
      <c r="K38">
        <v>300</v>
      </c>
      <c r="L38">
        <v>250</v>
      </c>
      <c r="M38">
        <v>70</v>
      </c>
      <c r="N38">
        <v>900</v>
      </c>
      <c r="O38">
        <v>2200</v>
      </c>
      <c r="P38">
        <v>1590</v>
      </c>
      <c r="R38">
        <v>4690</v>
      </c>
      <c r="S38" t="s">
        <v>142</v>
      </c>
    </row>
    <row r="39" spans="1:19">
      <c r="A39" t="s">
        <v>215</v>
      </c>
      <c r="B39" t="s">
        <v>74</v>
      </c>
      <c r="C39" t="s">
        <v>353</v>
      </c>
      <c r="D39" t="s">
        <v>56</v>
      </c>
      <c r="E39" t="s">
        <v>79</v>
      </c>
      <c r="F39" t="s">
        <v>199</v>
      </c>
      <c r="G39">
        <v>0.5</v>
      </c>
      <c r="H39">
        <v>70</v>
      </c>
      <c r="I39">
        <v>70</v>
      </c>
      <c r="J39">
        <v>140</v>
      </c>
      <c r="K39">
        <v>300</v>
      </c>
      <c r="L39">
        <v>250</v>
      </c>
      <c r="M39">
        <v>70</v>
      </c>
      <c r="N39">
        <v>900</v>
      </c>
      <c r="O39">
        <v>2200</v>
      </c>
      <c r="P39">
        <v>1590</v>
      </c>
      <c r="R39">
        <v>4690</v>
      </c>
      <c r="S39" t="s">
        <v>142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3A245-9B40-CC4C-AE29-9A6529D24761}">
  <dimension ref="A1:W31"/>
  <sheetViews>
    <sheetView workbookViewId="0"/>
  </sheetViews>
  <sheetFormatPr baseColWidth="10" defaultRowHeight="15"/>
  <sheetData>
    <row r="1" spans="1:23">
      <c r="H1" t="s">
        <v>418</v>
      </c>
      <c r="O1" t="s">
        <v>419</v>
      </c>
      <c r="U1" t="s">
        <v>0</v>
      </c>
    </row>
    <row r="2" spans="1:23" ht="32">
      <c r="A2" t="s">
        <v>1</v>
      </c>
      <c r="B2" t="s">
        <v>2</v>
      </c>
      <c r="C2" t="s">
        <v>3</v>
      </c>
      <c r="D2" t="s">
        <v>4</v>
      </c>
      <c r="E2" t="s">
        <v>5</v>
      </c>
      <c r="F2" t="s">
        <v>6</v>
      </c>
      <c r="G2" t="s">
        <v>420</v>
      </c>
      <c r="H2" s="63" t="s">
        <v>7</v>
      </c>
      <c r="I2" t="s">
        <v>8</v>
      </c>
      <c r="J2" t="s">
        <v>9</v>
      </c>
      <c r="K2" t="s">
        <v>10</v>
      </c>
      <c r="L2" t="s">
        <v>11</v>
      </c>
      <c r="M2" t="s">
        <v>12</v>
      </c>
      <c r="N2" t="s">
        <v>421</v>
      </c>
      <c r="O2" t="s">
        <v>422</v>
      </c>
      <c r="P2" t="s">
        <v>423</v>
      </c>
      <c r="Q2" t="s">
        <v>424</v>
      </c>
      <c r="R2" t="s">
        <v>425</v>
      </c>
      <c r="S2" t="s">
        <v>426</v>
      </c>
      <c r="T2" t="s">
        <v>14</v>
      </c>
      <c r="U2" t="s">
        <v>13</v>
      </c>
      <c r="V2" t="s">
        <v>427</v>
      </c>
    </row>
    <row r="3" spans="1:23">
      <c r="A3" t="s">
        <v>15</v>
      </c>
      <c r="B3" t="s">
        <v>16</v>
      </c>
      <c r="C3" t="s">
        <v>17</v>
      </c>
      <c r="D3" t="s">
        <v>18</v>
      </c>
      <c r="E3" t="s">
        <v>19</v>
      </c>
      <c r="F3" t="s">
        <v>20</v>
      </c>
      <c r="G3">
        <v>6</v>
      </c>
      <c r="H3">
        <v>70</v>
      </c>
      <c r="I3">
        <v>70</v>
      </c>
      <c r="J3">
        <v>140</v>
      </c>
      <c r="K3">
        <v>400</v>
      </c>
      <c r="L3">
        <v>10</v>
      </c>
      <c r="M3">
        <v>70</v>
      </c>
      <c r="N3">
        <v>760</v>
      </c>
      <c r="O3">
        <v>2685</v>
      </c>
      <c r="P3">
        <v>4600</v>
      </c>
      <c r="Q3" t="s">
        <v>212</v>
      </c>
      <c r="R3">
        <v>8045</v>
      </c>
      <c r="U3" t="s">
        <v>428</v>
      </c>
    </row>
    <row r="4" spans="1:23" ht="112">
      <c r="A4" s="63" t="s">
        <v>21</v>
      </c>
      <c r="B4" t="s">
        <v>22</v>
      </c>
      <c r="C4" t="s">
        <v>17</v>
      </c>
      <c r="D4" t="s">
        <v>23</v>
      </c>
      <c r="E4" t="s">
        <v>19</v>
      </c>
      <c r="F4" t="s">
        <v>20</v>
      </c>
      <c r="G4">
        <v>6</v>
      </c>
      <c r="H4">
        <v>70</v>
      </c>
      <c r="I4">
        <v>70</v>
      </c>
      <c r="J4">
        <v>140</v>
      </c>
      <c r="K4">
        <v>250</v>
      </c>
      <c r="L4">
        <v>10</v>
      </c>
      <c r="M4">
        <v>70</v>
      </c>
      <c r="N4">
        <v>610</v>
      </c>
      <c r="O4">
        <v>885</v>
      </c>
      <c r="P4">
        <v>5000</v>
      </c>
      <c r="Q4" t="s">
        <v>212</v>
      </c>
      <c r="R4">
        <v>6495</v>
      </c>
    </row>
    <row r="5" spans="1:23" ht="144">
      <c r="A5" t="s">
        <v>24</v>
      </c>
      <c r="B5" s="63" t="s">
        <v>25</v>
      </c>
      <c r="C5" t="s">
        <v>26</v>
      </c>
      <c r="D5" t="s">
        <v>27</v>
      </c>
      <c r="E5" t="s">
        <v>19</v>
      </c>
      <c r="F5" t="s">
        <v>20</v>
      </c>
      <c r="G5">
        <v>1</v>
      </c>
      <c r="H5">
        <v>70</v>
      </c>
      <c r="I5">
        <v>70</v>
      </c>
      <c r="J5">
        <v>140</v>
      </c>
      <c r="K5">
        <v>300</v>
      </c>
      <c r="L5">
        <v>30</v>
      </c>
      <c r="M5">
        <v>70</v>
      </c>
      <c r="N5">
        <v>680</v>
      </c>
      <c r="O5">
        <v>2785</v>
      </c>
      <c r="P5">
        <v>6182</v>
      </c>
      <c r="Q5" t="s">
        <v>212</v>
      </c>
      <c r="R5">
        <v>9647</v>
      </c>
      <c r="T5" t="s">
        <v>429</v>
      </c>
    </row>
    <row r="6" spans="1:23" ht="144">
      <c r="A6" t="s">
        <v>28</v>
      </c>
      <c r="B6" s="63" t="s">
        <v>25</v>
      </c>
      <c r="C6" t="s">
        <v>29</v>
      </c>
      <c r="D6" t="s">
        <v>27</v>
      </c>
      <c r="E6" t="s">
        <v>19</v>
      </c>
      <c r="F6" t="s">
        <v>20</v>
      </c>
      <c r="G6">
        <v>10</v>
      </c>
      <c r="H6">
        <v>70</v>
      </c>
      <c r="I6">
        <v>80</v>
      </c>
      <c r="J6">
        <v>160</v>
      </c>
      <c r="K6">
        <v>1000</v>
      </c>
      <c r="L6">
        <v>50</v>
      </c>
      <c r="M6">
        <v>75</v>
      </c>
      <c r="N6">
        <v>1435</v>
      </c>
      <c r="O6">
        <v>2785</v>
      </c>
      <c r="P6">
        <v>4870</v>
      </c>
      <c r="Q6" t="s">
        <v>212</v>
      </c>
      <c r="R6">
        <v>9090</v>
      </c>
      <c r="T6" t="s">
        <v>430</v>
      </c>
    </row>
    <row r="7" spans="1:23" ht="144">
      <c r="A7" t="s">
        <v>15</v>
      </c>
      <c r="B7" s="63" t="s">
        <v>25</v>
      </c>
      <c r="C7" t="s">
        <v>17</v>
      </c>
      <c r="D7" t="s">
        <v>27</v>
      </c>
      <c r="E7" t="s">
        <v>19</v>
      </c>
      <c r="F7" t="s">
        <v>20</v>
      </c>
      <c r="G7">
        <v>8</v>
      </c>
      <c r="H7">
        <v>70</v>
      </c>
      <c r="I7">
        <v>70</v>
      </c>
      <c r="J7">
        <v>140</v>
      </c>
      <c r="K7">
        <v>400</v>
      </c>
      <c r="L7">
        <v>10</v>
      </c>
      <c r="M7">
        <v>70</v>
      </c>
      <c r="N7">
        <v>760</v>
      </c>
      <c r="O7">
        <v>2785</v>
      </c>
      <c r="P7">
        <v>4932</v>
      </c>
      <c r="Q7" t="s">
        <v>212</v>
      </c>
      <c r="R7">
        <v>8477</v>
      </c>
    </row>
    <row r="8" spans="1:23" ht="192">
      <c r="A8" t="s">
        <v>15</v>
      </c>
      <c r="B8" s="63" t="s">
        <v>30</v>
      </c>
      <c r="C8" t="s">
        <v>17</v>
      </c>
      <c r="D8" t="s">
        <v>31</v>
      </c>
      <c r="E8" t="s">
        <v>32</v>
      </c>
      <c r="F8" t="s">
        <v>20</v>
      </c>
      <c r="G8">
        <v>35</v>
      </c>
      <c r="H8">
        <v>70</v>
      </c>
      <c r="I8">
        <v>70</v>
      </c>
      <c r="J8">
        <v>140</v>
      </c>
      <c r="K8">
        <v>400</v>
      </c>
      <c r="L8">
        <v>10</v>
      </c>
      <c r="M8">
        <v>70</v>
      </c>
      <c r="N8">
        <v>760</v>
      </c>
      <c r="O8">
        <v>950</v>
      </c>
      <c r="P8">
        <v>3480</v>
      </c>
      <c r="Q8" t="s">
        <v>212</v>
      </c>
      <c r="R8">
        <v>5190</v>
      </c>
    </row>
    <row r="9" spans="1:23" ht="192">
      <c r="A9" t="s">
        <v>128</v>
      </c>
      <c r="B9" s="63" t="s">
        <v>30</v>
      </c>
      <c r="C9" t="s">
        <v>17</v>
      </c>
      <c r="D9" t="s">
        <v>31</v>
      </c>
      <c r="E9" t="s">
        <v>32</v>
      </c>
      <c r="F9" t="s">
        <v>20</v>
      </c>
      <c r="G9">
        <v>15</v>
      </c>
      <c r="H9">
        <v>70</v>
      </c>
      <c r="I9">
        <v>70</v>
      </c>
      <c r="J9">
        <v>140</v>
      </c>
      <c r="K9">
        <v>200</v>
      </c>
      <c r="L9">
        <v>20</v>
      </c>
      <c r="M9">
        <v>50</v>
      </c>
      <c r="N9">
        <v>550</v>
      </c>
      <c r="O9">
        <v>950</v>
      </c>
      <c r="P9">
        <v>3480</v>
      </c>
      <c r="Q9" t="s">
        <v>212</v>
      </c>
      <c r="R9">
        <v>4980</v>
      </c>
      <c r="T9" t="s">
        <v>431</v>
      </c>
    </row>
    <row r="10" spans="1:23" ht="192">
      <c r="A10" t="s">
        <v>33</v>
      </c>
      <c r="B10" s="63" t="s">
        <v>34</v>
      </c>
      <c r="C10" t="s">
        <v>17</v>
      </c>
      <c r="D10" t="s">
        <v>35</v>
      </c>
      <c r="E10" t="s">
        <v>36</v>
      </c>
      <c r="F10" t="s">
        <v>20</v>
      </c>
      <c r="G10">
        <v>3</v>
      </c>
      <c r="H10">
        <v>70</v>
      </c>
      <c r="I10">
        <v>70</v>
      </c>
      <c r="J10">
        <v>140</v>
      </c>
      <c r="K10">
        <v>400</v>
      </c>
      <c r="L10">
        <v>10</v>
      </c>
      <c r="M10">
        <v>70</v>
      </c>
      <c r="N10">
        <v>760</v>
      </c>
      <c r="O10">
        <v>2200</v>
      </c>
      <c r="P10">
        <v>2680</v>
      </c>
      <c r="Q10" t="s">
        <v>143</v>
      </c>
      <c r="R10">
        <v>5640</v>
      </c>
      <c r="S10">
        <v>5230</v>
      </c>
    </row>
    <row r="11" spans="1:23" ht="192">
      <c r="A11" t="s">
        <v>64</v>
      </c>
      <c r="B11" s="63" t="s">
        <v>34</v>
      </c>
      <c r="C11" t="s">
        <v>62</v>
      </c>
      <c r="D11" t="s">
        <v>432</v>
      </c>
      <c r="E11" t="s">
        <v>36</v>
      </c>
      <c r="F11" t="s">
        <v>20</v>
      </c>
      <c r="G11">
        <v>10</v>
      </c>
      <c r="H11">
        <v>70</v>
      </c>
      <c r="I11">
        <v>70</v>
      </c>
      <c r="J11">
        <v>140</v>
      </c>
      <c r="K11">
        <v>300</v>
      </c>
      <c r="L11">
        <v>250</v>
      </c>
      <c r="M11">
        <v>70</v>
      </c>
      <c r="N11">
        <v>900</v>
      </c>
      <c r="O11">
        <v>2200</v>
      </c>
      <c r="P11">
        <v>1995</v>
      </c>
      <c r="Q11" t="s">
        <v>143</v>
      </c>
      <c r="R11">
        <v>5095</v>
      </c>
      <c r="S11">
        <v>4800</v>
      </c>
    </row>
    <row r="12" spans="1:23" ht="192">
      <c r="A12" t="s">
        <v>74</v>
      </c>
      <c r="B12" s="63" t="s">
        <v>34</v>
      </c>
      <c r="C12" t="s">
        <v>62</v>
      </c>
      <c r="D12" t="s">
        <v>35</v>
      </c>
      <c r="E12" t="s">
        <v>36</v>
      </c>
      <c r="F12" t="s">
        <v>20</v>
      </c>
      <c r="G12">
        <v>2</v>
      </c>
      <c r="H12">
        <v>70</v>
      </c>
      <c r="I12">
        <v>70</v>
      </c>
      <c r="J12">
        <v>140</v>
      </c>
      <c r="K12">
        <v>300</v>
      </c>
      <c r="L12">
        <v>30</v>
      </c>
      <c r="M12">
        <v>70</v>
      </c>
      <c r="N12">
        <v>680</v>
      </c>
      <c r="O12">
        <v>2200</v>
      </c>
      <c r="P12">
        <v>2785</v>
      </c>
      <c r="Q12" t="s">
        <v>143</v>
      </c>
      <c r="R12">
        <v>5665</v>
      </c>
      <c r="S12">
        <v>5390</v>
      </c>
      <c r="T12" t="s">
        <v>433</v>
      </c>
    </row>
    <row r="13" spans="1:23">
      <c r="A13" t="s">
        <v>37</v>
      </c>
      <c r="B13" t="s">
        <v>38</v>
      </c>
      <c r="C13" t="s">
        <v>17</v>
      </c>
      <c r="D13" t="s">
        <v>39</v>
      </c>
      <c r="E13" t="s">
        <v>40</v>
      </c>
      <c r="F13" t="s">
        <v>20</v>
      </c>
      <c r="G13">
        <v>3</v>
      </c>
      <c r="H13">
        <v>70</v>
      </c>
      <c r="I13">
        <v>70</v>
      </c>
      <c r="J13">
        <v>140</v>
      </c>
      <c r="K13">
        <v>250</v>
      </c>
      <c r="L13">
        <v>10</v>
      </c>
      <c r="M13">
        <v>70</v>
      </c>
      <c r="N13">
        <v>610</v>
      </c>
      <c r="O13">
        <v>800</v>
      </c>
      <c r="P13">
        <v>440</v>
      </c>
      <c r="Q13" t="s">
        <v>121</v>
      </c>
      <c r="R13">
        <v>1850</v>
      </c>
      <c r="T13" t="s">
        <v>434</v>
      </c>
      <c r="V13">
        <v>1725</v>
      </c>
      <c r="W13">
        <v>1850</v>
      </c>
    </row>
    <row r="14" spans="1:23" ht="256">
      <c r="A14" t="s">
        <v>41</v>
      </c>
      <c r="B14" s="63" t="s">
        <v>42</v>
      </c>
      <c r="C14" t="s">
        <v>17</v>
      </c>
      <c r="D14" t="s">
        <v>39</v>
      </c>
      <c r="E14" t="s">
        <v>40</v>
      </c>
      <c r="F14" t="s">
        <v>20</v>
      </c>
      <c r="G14">
        <v>12</v>
      </c>
      <c r="H14">
        <v>70</v>
      </c>
      <c r="I14">
        <v>70</v>
      </c>
      <c r="J14">
        <v>140</v>
      </c>
      <c r="K14">
        <v>250</v>
      </c>
      <c r="L14">
        <v>10</v>
      </c>
      <c r="M14">
        <v>70</v>
      </c>
      <c r="N14">
        <v>610</v>
      </c>
      <c r="O14">
        <v>800</v>
      </c>
      <c r="P14">
        <v>440</v>
      </c>
      <c r="Q14" t="s">
        <v>121</v>
      </c>
      <c r="R14">
        <v>1850</v>
      </c>
      <c r="T14" t="s">
        <v>435</v>
      </c>
      <c r="V14">
        <v>1717</v>
      </c>
      <c r="W14">
        <v>1850</v>
      </c>
    </row>
    <row r="15" spans="1:23">
      <c r="A15" t="s">
        <v>43</v>
      </c>
      <c r="B15" t="s">
        <v>38</v>
      </c>
      <c r="C15" t="s">
        <v>44</v>
      </c>
      <c r="D15" t="s">
        <v>39</v>
      </c>
      <c r="E15" t="s">
        <v>40</v>
      </c>
      <c r="F15" t="s">
        <v>20</v>
      </c>
      <c r="G15">
        <v>3</v>
      </c>
      <c r="H15">
        <v>70</v>
      </c>
      <c r="I15">
        <v>70</v>
      </c>
      <c r="J15">
        <v>140</v>
      </c>
      <c r="K15">
        <v>420</v>
      </c>
      <c r="L15">
        <v>30</v>
      </c>
      <c r="M15">
        <v>70</v>
      </c>
      <c r="N15">
        <v>800</v>
      </c>
      <c r="O15">
        <v>800</v>
      </c>
      <c r="P15">
        <v>440</v>
      </c>
      <c r="Q15" t="s">
        <v>121</v>
      </c>
      <c r="R15">
        <v>2040</v>
      </c>
      <c r="T15" t="s">
        <v>436</v>
      </c>
      <c r="V15">
        <v>2062</v>
      </c>
      <c r="W15">
        <v>2040</v>
      </c>
    </row>
    <row r="16" spans="1:23" ht="256">
      <c r="A16" t="s">
        <v>45</v>
      </c>
      <c r="B16" s="63" t="s">
        <v>42</v>
      </c>
      <c r="C16" t="s">
        <v>46</v>
      </c>
      <c r="D16" t="s">
        <v>39</v>
      </c>
      <c r="E16" t="s">
        <v>40</v>
      </c>
      <c r="F16" t="s">
        <v>20</v>
      </c>
      <c r="G16">
        <v>3</v>
      </c>
      <c r="H16">
        <v>70</v>
      </c>
      <c r="I16">
        <v>70</v>
      </c>
      <c r="J16">
        <v>140</v>
      </c>
      <c r="K16">
        <v>420</v>
      </c>
      <c r="L16">
        <v>30</v>
      </c>
      <c r="M16">
        <v>70</v>
      </c>
      <c r="N16">
        <v>800</v>
      </c>
      <c r="O16">
        <v>800</v>
      </c>
      <c r="P16">
        <v>150</v>
      </c>
      <c r="Q16" t="s">
        <v>121</v>
      </c>
      <c r="R16">
        <v>1750</v>
      </c>
      <c r="T16" t="s">
        <v>437</v>
      </c>
      <c r="V16">
        <v>1956</v>
      </c>
      <c r="W16">
        <v>1850</v>
      </c>
    </row>
    <row r="17" spans="1:20">
      <c r="C17" t="s">
        <v>40</v>
      </c>
      <c r="D17" t="s">
        <v>36</v>
      </c>
      <c r="E17" t="s">
        <v>40</v>
      </c>
      <c r="F17" t="s">
        <v>20</v>
      </c>
      <c r="N17">
        <v>0</v>
      </c>
      <c r="Q17" t="s">
        <v>438</v>
      </c>
      <c r="R17">
        <v>0</v>
      </c>
      <c r="T17" t="s">
        <v>439</v>
      </c>
    </row>
    <row r="18" spans="1:20" ht="288">
      <c r="A18" s="63" t="s">
        <v>47</v>
      </c>
      <c r="B18" t="s">
        <v>15</v>
      </c>
      <c r="C18" t="s">
        <v>26</v>
      </c>
      <c r="D18" t="s">
        <v>17</v>
      </c>
      <c r="E18" t="s">
        <v>48</v>
      </c>
      <c r="F18" t="s">
        <v>20</v>
      </c>
      <c r="G18">
        <v>15</v>
      </c>
      <c r="H18">
        <v>70</v>
      </c>
      <c r="I18">
        <v>50</v>
      </c>
      <c r="J18">
        <v>260</v>
      </c>
      <c r="K18">
        <v>325</v>
      </c>
      <c r="L18">
        <v>90</v>
      </c>
      <c r="M18">
        <v>80</v>
      </c>
      <c r="N18">
        <v>875</v>
      </c>
      <c r="O18">
        <v>600</v>
      </c>
      <c r="P18">
        <v>30</v>
      </c>
      <c r="Q18" t="s">
        <v>131</v>
      </c>
      <c r="R18">
        <v>1505</v>
      </c>
    </row>
    <row r="19" spans="1:20" ht="144">
      <c r="A19" s="63" t="s">
        <v>49</v>
      </c>
      <c r="B19" t="s">
        <v>15</v>
      </c>
      <c r="C19" t="s">
        <v>50</v>
      </c>
      <c r="D19" t="s">
        <v>17</v>
      </c>
      <c r="E19" t="s">
        <v>48</v>
      </c>
      <c r="F19" t="s">
        <v>20</v>
      </c>
      <c r="G19">
        <v>7</v>
      </c>
      <c r="H19">
        <v>70</v>
      </c>
      <c r="I19">
        <v>35</v>
      </c>
      <c r="J19">
        <v>145</v>
      </c>
      <c r="K19">
        <v>350</v>
      </c>
      <c r="L19">
        <v>150</v>
      </c>
      <c r="M19">
        <v>50</v>
      </c>
      <c r="N19">
        <v>800</v>
      </c>
      <c r="O19">
        <v>600</v>
      </c>
      <c r="P19">
        <v>1</v>
      </c>
      <c r="Q19" t="s">
        <v>131</v>
      </c>
      <c r="R19">
        <v>1401</v>
      </c>
    </row>
    <row r="20" spans="1:20">
      <c r="A20" t="s">
        <v>24</v>
      </c>
      <c r="B20" t="s">
        <v>51</v>
      </c>
      <c r="C20" t="s">
        <v>26</v>
      </c>
      <c r="D20" t="s">
        <v>52</v>
      </c>
      <c r="E20" t="s">
        <v>53</v>
      </c>
      <c r="F20" t="s">
        <v>54</v>
      </c>
      <c r="G20">
        <v>8</v>
      </c>
      <c r="H20">
        <v>70</v>
      </c>
      <c r="I20">
        <v>50</v>
      </c>
      <c r="J20">
        <v>260</v>
      </c>
      <c r="K20">
        <v>250</v>
      </c>
      <c r="L20">
        <v>90</v>
      </c>
      <c r="M20">
        <v>80</v>
      </c>
      <c r="N20">
        <v>800</v>
      </c>
      <c r="O20" t="s">
        <v>169</v>
      </c>
      <c r="P20">
        <v>3500</v>
      </c>
      <c r="Q20" t="s">
        <v>140</v>
      </c>
      <c r="R20">
        <v>4300</v>
      </c>
    </row>
    <row r="21" spans="1:20" ht="288">
      <c r="A21" s="63" t="s">
        <v>55</v>
      </c>
      <c r="B21" t="s">
        <v>51</v>
      </c>
      <c r="C21" t="s">
        <v>56</v>
      </c>
      <c r="D21" t="s">
        <v>52</v>
      </c>
      <c r="E21" t="s">
        <v>53</v>
      </c>
      <c r="F21" t="s">
        <v>54</v>
      </c>
      <c r="G21">
        <v>15</v>
      </c>
      <c r="H21">
        <v>70</v>
      </c>
      <c r="I21">
        <v>50</v>
      </c>
      <c r="J21">
        <v>260</v>
      </c>
      <c r="K21">
        <v>325</v>
      </c>
      <c r="L21">
        <v>90</v>
      </c>
      <c r="M21">
        <v>80</v>
      </c>
      <c r="N21">
        <v>875</v>
      </c>
      <c r="O21" t="s">
        <v>169</v>
      </c>
      <c r="P21">
        <v>3500</v>
      </c>
      <c r="Q21" t="s">
        <v>140</v>
      </c>
      <c r="R21">
        <v>4375</v>
      </c>
    </row>
    <row r="22" spans="1:20" ht="272">
      <c r="A22" s="63" t="s">
        <v>57</v>
      </c>
      <c r="B22" t="s">
        <v>51</v>
      </c>
      <c r="C22" t="s">
        <v>29</v>
      </c>
      <c r="D22" t="s">
        <v>52</v>
      </c>
      <c r="E22" t="s">
        <v>53</v>
      </c>
      <c r="F22" t="s">
        <v>54</v>
      </c>
      <c r="G22">
        <v>8</v>
      </c>
      <c r="H22">
        <v>70</v>
      </c>
      <c r="I22">
        <v>80</v>
      </c>
      <c r="J22">
        <v>160</v>
      </c>
      <c r="K22">
        <v>1000</v>
      </c>
      <c r="L22">
        <v>50</v>
      </c>
      <c r="M22">
        <v>75</v>
      </c>
      <c r="N22">
        <v>1435</v>
      </c>
      <c r="O22" t="s">
        <v>169</v>
      </c>
      <c r="P22">
        <v>2500</v>
      </c>
      <c r="Q22" t="s">
        <v>140</v>
      </c>
      <c r="R22">
        <v>3935</v>
      </c>
    </row>
    <row r="23" spans="1:20">
      <c r="A23" t="s">
        <v>58</v>
      </c>
      <c r="B23" t="s">
        <v>51</v>
      </c>
      <c r="C23" t="s">
        <v>59</v>
      </c>
      <c r="D23" t="s">
        <v>52</v>
      </c>
      <c r="E23" t="s">
        <v>53</v>
      </c>
      <c r="F23" t="s">
        <v>54</v>
      </c>
      <c r="G23">
        <v>4</v>
      </c>
      <c r="H23">
        <v>70</v>
      </c>
      <c r="I23">
        <v>70</v>
      </c>
      <c r="J23">
        <v>145</v>
      </c>
      <c r="K23">
        <v>200</v>
      </c>
      <c r="L23">
        <v>15</v>
      </c>
      <c r="M23">
        <v>50</v>
      </c>
      <c r="N23">
        <v>550</v>
      </c>
      <c r="O23" t="s">
        <v>169</v>
      </c>
      <c r="P23">
        <v>3000</v>
      </c>
      <c r="Q23" t="s">
        <v>131</v>
      </c>
      <c r="R23">
        <v>3550</v>
      </c>
    </row>
    <row r="24" spans="1:20" ht="144">
      <c r="A24" s="63" t="s">
        <v>49</v>
      </c>
      <c r="B24" t="s">
        <v>51</v>
      </c>
      <c r="C24" t="s">
        <v>50</v>
      </c>
      <c r="D24" t="s">
        <v>52</v>
      </c>
      <c r="E24" t="s">
        <v>53</v>
      </c>
      <c r="F24" t="s">
        <v>54</v>
      </c>
      <c r="G24">
        <v>8</v>
      </c>
      <c r="H24">
        <v>70</v>
      </c>
      <c r="I24">
        <v>35</v>
      </c>
      <c r="J24">
        <v>145</v>
      </c>
      <c r="K24">
        <v>350</v>
      </c>
      <c r="L24">
        <v>150</v>
      </c>
      <c r="M24">
        <v>50</v>
      </c>
      <c r="N24">
        <v>800</v>
      </c>
      <c r="O24" t="s">
        <v>169</v>
      </c>
      <c r="P24">
        <v>2700</v>
      </c>
      <c r="Q24" t="s">
        <v>131</v>
      </c>
      <c r="R24">
        <v>3500</v>
      </c>
    </row>
    <row r="25" spans="1:20">
      <c r="A25" t="s">
        <v>440</v>
      </c>
      <c r="B25" t="s">
        <v>51</v>
      </c>
      <c r="C25" t="s">
        <v>17</v>
      </c>
      <c r="D25" t="s">
        <v>52</v>
      </c>
      <c r="E25" t="s">
        <v>53</v>
      </c>
      <c r="F25" t="s">
        <v>54</v>
      </c>
      <c r="G25">
        <v>3</v>
      </c>
      <c r="H25">
        <v>70</v>
      </c>
      <c r="I25">
        <v>70</v>
      </c>
      <c r="J25">
        <v>145</v>
      </c>
      <c r="K25">
        <v>50</v>
      </c>
      <c r="L25">
        <v>15</v>
      </c>
      <c r="M25">
        <v>60</v>
      </c>
      <c r="N25">
        <v>410</v>
      </c>
      <c r="O25" t="s">
        <v>169</v>
      </c>
      <c r="P25">
        <v>2700</v>
      </c>
      <c r="Q25" t="s">
        <v>131</v>
      </c>
      <c r="R25">
        <v>3110</v>
      </c>
      <c r="T25" t="s">
        <v>441</v>
      </c>
    </row>
    <row r="26" spans="1:20">
      <c r="A26" t="s">
        <v>442</v>
      </c>
      <c r="B26" t="s">
        <v>51</v>
      </c>
      <c r="C26" t="s">
        <v>17</v>
      </c>
      <c r="D26" t="s">
        <v>52</v>
      </c>
      <c r="E26" t="s">
        <v>53</v>
      </c>
      <c r="F26" t="s">
        <v>54</v>
      </c>
      <c r="G26">
        <v>3</v>
      </c>
      <c r="H26">
        <v>70</v>
      </c>
      <c r="I26">
        <v>70</v>
      </c>
      <c r="J26">
        <v>145</v>
      </c>
      <c r="K26">
        <v>230</v>
      </c>
      <c r="L26">
        <v>15</v>
      </c>
      <c r="M26">
        <v>60</v>
      </c>
      <c r="N26">
        <v>590</v>
      </c>
      <c r="O26" t="s">
        <v>169</v>
      </c>
      <c r="P26">
        <v>2700</v>
      </c>
      <c r="Q26" t="s">
        <v>131</v>
      </c>
      <c r="R26">
        <v>3290</v>
      </c>
    </row>
    <row r="27" spans="1:20">
      <c r="A27" t="s">
        <v>443</v>
      </c>
      <c r="B27" t="s">
        <v>51</v>
      </c>
      <c r="C27" t="s">
        <v>17</v>
      </c>
      <c r="D27" t="s">
        <v>52</v>
      </c>
      <c r="E27" t="s">
        <v>53</v>
      </c>
      <c r="F27" t="s">
        <v>54</v>
      </c>
      <c r="G27">
        <v>3</v>
      </c>
      <c r="H27">
        <v>70</v>
      </c>
      <c r="I27">
        <v>70</v>
      </c>
      <c r="J27">
        <v>145</v>
      </c>
      <c r="K27">
        <v>550</v>
      </c>
      <c r="L27">
        <v>15</v>
      </c>
      <c r="M27">
        <v>60</v>
      </c>
      <c r="N27">
        <v>910</v>
      </c>
      <c r="O27" t="s">
        <v>169</v>
      </c>
      <c r="P27">
        <v>2700</v>
      </c>
      <c r="Q27" t="s">
        <v>131</v>
      </c>
      <c r="R27">
        <v>3610</v>
      </c>
    </row>
    <row r="28" spans="1:20">
      <c r="A28" t="s">
        <v>444</v>
      </c>
      <c r="B28" t="s">
        <v>51</v>
      </c>
      <c r="C28" t="s">
        <v>17</v>
      </c>
      <c r="D28" t="s">
        <v>52</v>
      </c>
      <c r="E28" t="s">
        <v>53</v>
      </c>
      <c r="F28" t="s">
        <v>54</v>
      </c>
      <c r="G28">
        <v>3</v>
      </c>
      <c r="H28">
        <v>70</v>
      </c>
      <c r="I28">
        <v>70</v>
      </c>
      <c r="J28">
        <v>145</v>
      </c>
      <c r="K28">
        <v>1550</v>
      </c>
      <c r="L28">
        <v>15</v>
      </c>
      <c r="M28">
        <v>60</v>
      </c>
      <c r="N28">
        <v>1910</v>
      </c>
      <c r="O28" t="s">
        <v>169</v>
      </c>
      <c r="P28">
        <v>2700</v>
      </c>
      <c r="Q28" t="s">
        <v>131</v>
      </c>
      <c r="R28">
        <v>4610</v>
      </c>
    </row>
    <row r="29" spans="1:20">
      <c r="A29" t="s">
        <v>445</v>
      </c>
      <c r="B29" t="s">
        <v>51</v>
      </c>
      <c r="C29" t="s">
        <v>17</v>
      </c>
      <c r="D29" t="s">
        <v>52</v>
      </c>
      <c r="E29" t="s">
        <v>53</v>
      </c>
      <c r="F29" t="s">
        <v>54</v>
      </c>
      <c r="G29">
        <v>3</v>
      </c>
      <c r="H29">
        <v>70</v>
      </c>
      <c r="I29">
        <v>70</v>
      </c>
      <c r="J29">
        <v>145</v>
      </c>
      <c r="K29">
        <v>250</v>
      </c>
      <c r="L29">
        <v>15</v>
      </c>
      <c r="M29">
        <v>60</v>
      </c>
      <c r="N29">
        <v>610</v>
      </c>
      <c r="O29" t="s">
        <v>169</v>
      </c>
      <c r="P29">
        <v>2700</v>
      </c>
      <c r="Q29" t="s">
        <v>131</v>
      </c>
      <c r="R29">
        <v>3310</v>
      </c>
    </row>
    <row r="30" spans="1:20">
      <c r="A30" t="s">
        <v>446</v>
      </c>
      <c r="B30" t="s">
        <v>51</v>
      </c>
      <c r="C30" t="s">
        <v>17</v>
      </c>
      <c r="D30" t="s">
        <v>52</v>
      </c>
      <c r="E30" t="s">
        <v>53</v>
      </c>
      <c r="F30" t="s">
        <v>54</v>
      </c>
      <c r="G30">
        <v>3</v>
      </c>
      <c r="H30">
        <v>70</v>
      </c>
      <c r="I30">
        <v>70</v>
      </c>
      <c r="J30">
        <v>145</v>
      </c>
      <c r="K30">
        <v>500</v>
      </c>
      <c r="L30">
        <v>15</v>
      </c>
      <c r="M30">
        <v>60</v>
      </c>
      <c r="N30">
        <v>860</v>
      </c>
      <c r="O30" t="s">
        <v>169</v>
      </c>
      <c r="P30">
        <v>2700</v>
      </c>
      <c r="Q30" t="s">
        <v>131</v>
      </c>
      <c r="R30">
        <v>3560</v>
      </c>
    </row>
    <row r="31" spans="1:20">
      <c r="A31" t="s">
        <v>447</v>
      </c>
      <c r="B31" t="s">
        <v>51</v>
      </c>
      <c r="C31" t="s">
        <v>17</v>
      </c>
      <c r="D31" t="s">
        <v>52</v>
      </c>
      <c r="E31" t="s">
        <v>53</v>
      </c>
      <c r="F31" t="s">
        <v>54</v>
      </c>
      <c r="G31">
        <v>8</v>
      </c>
      <c r="H31">
        <v>70</v>
      </c>
      <c r="I31">
        <v>70</v>
      </c>
      <c r="J31">
        <v>145</v>
      </c>
      <c r="K31">
        <v>350</v>
      </c>
      <c r="L31">
        <v>15</v>
      </c>
      <c r="M31">
        <v>60</v>
      </c>
      <c r="N31">
        <v>710</v>
      </c>
      <c r="O31" t="s">
        <v>169</v>
      </c>
      <c r="P31">
        <v>2700</v>
      </c>
      <c r="Q31" t="s">
        <v>131</v>
      </c>
      <c r="R31">
        <v>3410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CF121-7C68-4542-B21F-9B7173E9C42F}">
  <dimension ref="A1:Q85"/>
  <sheetViews>
    <sheetView showGridLines="0" zoomScaleNormal="100" workbookViewId="0">
      <pane xSplit="2" ySplit="5" topLeftCell="C6" activePane="bottomRight" state="frozen"/>
      <selection pane="topRight" activeCell="C1" sqref="C1"/>
      <selection pane="bottomLeft" activeCell="A6" sqref="A6"/>
      <selection pane="bottomRight" activeCell="A61" sqref="A61:Q61"/>
    </sheetView>
  </sheetViews>
  <sheetFormatPr baseColWidth="10" defaultColWidth="8.5" defaultRowHeight="15"/>
  <cols>
    <col min="1" max="1" width="40" style="402" customWidth="1"/>
    <col min="2" max="2" width="8" style="402" customWidth="1"/>
    <col min="3" max="14" width="9.6640625" style="402" customWidth="1"/>
    <col min="15" max="15" width="10.33203125" style="402" customWidth="1"/>
    <col min="16" max="16" width="12" style="402" customWidth="1"/>
    <col min="17" max="17" width="18.33203125" style="402" customWidth="1"/>
    <col min="18" max="16384" width="8.5" style="395"/>
  </cols>
  <sheetData>
    <row r="1" spans="1:17" ht="26" customHeight="1">
      <c r="A1" s="394" t="s">
        <v>557</v>
      </c>
      <c r="B1" s="394"/>
      <c r="C1" s="394"/>
      <c r="D1" s="394"/>
      <c r="E1" s="394"/>
      <c r="F1" s="394"/>
      <c r="G1" s="394"/>
      <c r="H1" s="394"/>
      <c r="I1" s="394"/>
      <c r="J1" s="394"/>
      <c r="K1" s="394"/>
      <c r="L1" s="394"/>
      <c r="M1" s="394"/>
      <c r="N1" s="394"/>
      <c r="O1" s="394"/>
      <c r="P1" s="394"/>
      <c r="Q1" s="394"/>
    </row>
    <row r="2" spans="1:17" ht="22" customHeight="1">
      <c r="A2" s="396" t="s">
        <v>558</v>
      </c>
      <c r="B2" s="396"/>
      <c r="C2" s="396"/>
      <c r="D2" s="396"/>
      <c r="E2" s="396"/>
      <c r="F2" s="396"/>
      <c r="G2" s="396"/>
      <c r="H2" s="396"/>
      <c r="I2" s="396"/>
      <c r="J2" s="396"/>
      <c r="K2" s="396"/>
      <c r="L2" s="396"/>
      <c r="M2" s="396"/>
      <c r="N2" s="396"/>
      <c r="O2" s="396"/>
      <c r="P2" s="396"/>
      <c r="Q2" s="396"/>
    </row>
    <row r="3" spans="1:17" ht="18" customHeight="1">
      <c r="A3" s="397"/>
      <c r="B3" s="397"/>
      <c r="C3" s="512" t="s">
        <v>695</v>
      </c>
      <c r="D3" s="513"/>
      <c r="E3" s="513"/>
      <c r="F3" s="513"/>
      <c r="G3" s="514"/>
      <c r="H3" s="515" t="s">
        <v>696</v>
      </c>
      <c r="I3" s="516"/>
      <c r="J3" s="516"/>
      <c r="K3" s="516"/>
      <c r="L3" s="516"/>
      <c r="M3" s="516"/>
      <c r="N3" s="517"/>
      <c r="O3" s="520"/>
      <c r="P3" s="520"/>
      <c r="Q3" s="520"/>
    </row>
    <row r="4" spans="1:17" ht="24" customHeight="1">
      <c r="A4" s="525" t="s">
        <v>697</v>
      </c>
      <c r="B4" s="525"/>
      <c r="C4" s="525"/>
      <c r="D4" s="525"/>
      <c r="E4" s="525"/>
      <c r="F4" s="525"/>
      <c r="G4" s="525"/>
      <c r="H4" s="525"/>
      <c r="I4" s="525"/>
      <c r="J4" s="525"/>
      <c r="K4" s="525"/>
      <c r="L4" s="525"/>
      <c r="M4" s="525"/>
      <c r="N4" s="525"/>
      <c r="O4" s="525"/>
      <c r="P4" s="525"/>
      <c r="Q4" s="525"/>
    </row>
    <row r="5" spans="1:17" ht="30" customHeight="1">
      <c r="A5" s="398" t="s">
        <v>559</v>
      </c>
      <c r="B5" s="398" t="s">
        <v>560</v>
      </c>
      <c r="C5" s="518" t="s">
        <v>561</v>
      </c>
      <c r="D5" s="518" t="s">
        <v>562</v>
      </c>
      <c r="E5" s="518" t="s">
        <v>563</v>
      </c>
      <c r="F5" s="518" t="s">
        <v>564</v>
      </c>
      <c r="G5" s="518" t="s">
        <v>565</v>
      </c>
      <c r="H5" s="519" t="s">
        <v>566</v>
      </c>
      <c r="I5" s="519" t="s">
        <v>567</v>
      </c>
      <c r="J5" s="519" t="s">
        <v>568</v>
      </c>
      <c r="K5" s="519" t="s">
        <v>569</v>
      </c>
      <c r="L5" s="519" t="s">
        <v>570</v>
      </c>
      <c r="M5" s="519" t="s">
        <v>571</v>
      </c>
      <c r="N5" s="519" t="s">
        <v>572</v>
      </c>
      <c r="O5" s="521" t="s">
        <v>573</v>
      </c>
      <c r="P5" s="522" t="s">
        <v>574</v>
      </c>
      <c r="Q5" s="523" t="s">
        <v>575</v>
      </c>
    </row>
    <row r="6" spans="1:17" ht="18" customHeight="1">
      <c r="A6" s="399" t="s">
        <v>576</v>
      </c>
      <c r="B6" s="400" t="s">
        <v>577</v>
      </c>
      <c r="C6" s="401">
        <v>70</v>
      </c>
      <c r="D6" s="401">
        <v>68</v>
      </c>
      <c r="E6" s="401">
        <v>64</v>
      </c>
      <c r="F6" s="401">
        <v>64</v>
      </c>
      <c r="G6" s="401">
        <v>63</v>
      </c>
      <c r="H6" s="401">
        <v>64.59</v>
      </c>
      <c r="I6" s="401">
        <v>69.41</v>
      </c>
      <c r="J6" s="401">
        <v>103.1</v>
      </c>
      <c r="K6" s="401">
        <v>117</v>
      </c>
      <c r="L6" s="401">
        <v>117</v>
      </c>
      <c r="M6" s="401">
        <v>106</v>
      </c>
      <c r="N6" s="401">
        <v>106</v>
      </c>
      <c r="O6" s="401">
        <v>84.3</v>
      </c>
      <c r="P6" s="524"/>
      <c r="Q6" s="524"/>
    </row>
    <row r="7" spans="1:17" ht="5" customHeight="1"/>
    <row r="8" spans="1:17" ht="22" customHeight="1">
      <c r="A8" s="403" t="s">
        <v>578</v>
      </c>
      <c r="B8" s="403"/>
      <c r="C8" s="403"/>
      <c r="D8" s="403"/>
      <c r="E8" s="403"/>
      <c r="F8" s="403"/>
      <c r="G8" s="403"/>
      <c r="H8" s="403"/>
      <c r="I8" s="403"/>
      <c r="J8" s="403"/>
      <c r="K8" s="403"/>
      <c r="L8" s="403"/>
      <c r="M8" s="403"/>
      <c r="N8" s="403"/>
      <c r="O8" s="403"/>
      <c r="P8" s="403"/>
      <c r="Q8" s="403"/>
    </row>
    <row r="9" spans="1:17" ht="16" customHeight="1">
      <c r="A9" s="404" t="s">
        <v>579</v>
      </c>
      <c r="B9" s="405" t="s">
        <v>194</v>
      </c>
      <c r="C9" s="406">
        <f>IFERROR(_xlfn.XLOOKUP("SHA-Izmit",'25.7-8月'!A:A,'25.7-8月'!P:P,""),"")</f>
        <v>3480</v>
      </c>
      <c r="D9" s="406">
        <f>IFERROR(_xlfn.XLOOKUP("SHA-Izmit",'25.9月'!A:A,'25.9月'!P:P,""),"")</f>
        <v>2800</v>
      </c>
      <c r="E9" s="406">
        <f>IFERROR(_xlfn.XLOOKUP("SHA-Izmit",'25.10月'!A:A,'25.10月'!P:P,""),"")</f>
        <v>2200</v>
      </c>
      <c r="F9" s="406">
        <f>IFERROR(_xlfn.XLOOKUP("SHA-Izmit",'25.11月'!A:A,'25.11月'!P:P,""),"")</f>
        <v>2145</v>
      </c>
      <c r="G9" s="406">
        <f>IFERROR(_xlfn.XLOOKUP("SHA-Izmit",'25.12月'!A:A,'25.12月'!P:P,""),"")</f>
        <v>2800</v>
      </c>
      <c r="H9" s="407">
        <f>IFERROR(_xlfn.XLOOKUP("SHA-Izmit",'26.1月'!A:A,'26.1月'!P:P,""),"")</f>
        <v>3330</v>
      </c>
      <c r="I9" s="407">
        <f>IFERROR(_xlfn.XLOOKUP("SHA-Izmit",'26.2月'!A:A,'26.2月'!P:P,""),"")</f>
        <v>4000</v>
      </c>
      <c r="J9" s="407">
        <f>IFERROR(_xlfn.XLOOKUP("SHA-Izmit",'26.3月'!A:A,'26.3月'!P:P,""),"")</f>
        <v>3727</v>
      </c>
      <c r="K9" s="407">
        <f>IFERROR(_xlfn.XLOOKUP("SHA-Izmit",'26.3.30-4.12'!A:A,'26.3.30-4.12'!P:P,""),"")</f>
        <v>3350</v>
      </c>
      <c r="L9" s="407">
        <f>IFERROR(_xlfn.XLOOKUP("SHA-Izmit",'26.4.13-4.26'!A:A,'26.4.13-4.26'!P:P,""),"")</f>
        <v>2745</v>
      </c>
      <c r="M9" s="407">
        <f>IFERROR(_xlfn.XLOOKUP("SHA-Izmit",'26.5月'!A:A,'26.5月'!P:P,""),"")</f>
        <v>2899</v>
      </c>
      <c r="N9" s="407">
        <f>IFERROR(_xlfn.XLOOKUP("SHA-Izmit",'26.6月'!A:A,'26.6月'!P:P,""),"")</f>
        <v>4990</v>
      </c>
      <c r="O9" s="408">
        <v>3167</v>
      </c>
      <c r="P9" s="409">
        <v>0.43390804597701199</v>
      </c>
      <c r="Q9" s="410" t="s">
        <v>580</v>
      </c>
    </row>
    <row r="10" spans="1:17" ht="16" customHeight="1">
      <c r="A10" s="404" t="s">
        <v>581</v>
      </c>
      <c r="B10" s="411" t="s">
        <v>399</v>
      </c>
      <c r="C10" s="406">
        <f>IFERROR(_xlfn.XLOOKUP("SAI-Izmit",'25.7-8月'!A:A,'25.7-8月'!P:P,""),"")</f>
        <v>3480</v>
      </c>
      <c r="D10" s="406">
        <f>IFERROR(_xlfn.XLOOKUP("SAI-Izmit",'25.9月'!A:A,'25.9月'!P:P,""),"")</f>
        <v>4294</v>
      </c>
      <c r="E10" s="406">
        <f>IFERROR('25.10月'!P4,"")</f>
        <v>2650</v>
      </c>
      <c r="F10" s="406">
        <f>IFERROR('25.11月'!P4,"")</f>
        <v>3650</v>
      </c>
      <c r="G10" s="406">
        <f>IFERROR('25.12月'!P4,"")</f>
        <v>4600</v>
      </c>
      <c r="H10" s="407">
        <f>IFERROR(_xlfn.XLOOKUP("SAI-Izmit",'26.1月'!A:A,'26.1月'!P:P,""),"")</f>
        <v>4171</v>
      </c>
      <c r="I10" s="407">
        <f>IFERROR(_xlfn.XLOOKUP("SAI-Izmit",'26.2月'!A:A,'26.2月'!P:P,""),"")</f>
        <v>5000</v>
      </c>
      <c r="J10" s="407">
        <f>IFERROR(_xlfn.XLOOKUP("SAI-Izmit",'26.3月'!A:A,'26.3月'!P:P,""),"")</f>
        <v>5327</v>
      </c>
      <c r="K10" s="407">
        <f>IFERROR(_xlfn.XLOOKUP("SAI-Izmit",'26.3.30-4.12'!A:A,'26.3.30-4.12'!P:P,""),"")</f>
        <v>4925</v>
      </c>
      <c r="L10" s="407">
        <f>IFERROR(_xlfn.XLOOKUP("SAI-Izmit",'26.4.13-4.26'!A:A,'26.4.13-4.26'!P:P,""),"")</f>
        <v>4400</v>
      </c>
      <c r="M10" s="407">
        <f>IFERROR(_xlfn.XLOOKUP("SAI-Izmit",'26.5月'!A:A,'26.5月'!P:P,""),"")</f>
        <v>2949</v>
      </c>
      <c r="N10" s="407">
        <f>IFERROR(_xlfn.XLOOKUP("SAI-Izmit",'26.6月'!A:A,'26.6月'!P:P,""),"")</f>
        <v>6940</v>
      </c>
      <c r="O10" s="408">
        <v>4359</v>
      </c>
      <c r="P10" s="409">
        <v>0.99425287356321801</v>
      </c>
      <c r="Q10" s="412" t="s">
        <v>582</v>
      </c>
    </row>
    <row r="11" spans="1:17" ht="5" customHeight="1"/>
    <row r="12" spans="1:17" ht="22" customHeight="1">
      <c r="A12" s="413" t="s">
        <v>583</v>
      </c>
      <c r="B12" s="413"/>
      <c r="C12" s="413"/>
      <c r="D12" s="413"/>
      <c r="E12" s="413"/>
      <c r="F12" s="413"/>
      <c r="G12" s="413"/>
      <c r="H12" s="413"/>
      <c r="I12" s="413"/>
      <c r="J12" s="413"/>
      <c r="K12" s="413"/>
      <c r="L12" s="413"/>
      <c r="M12" s="413"/>
      <c r="N12" s="413"/>
      <c r="O12" s="413"/>
      <c r="P12" s="413"/>
      <c r="Q12" s="413"/>
    </row>
    <row r="13" spans="1:17" ht="16" customHeight="1">
      <c r="A13" s="414" t="s">
        <v>584</v>
      </c>
      <c r="B13" s="415" t="s">
        <v>199</v>
      </c>
      <c r="C13" s="416">
        <f>IFERROR(_xlfn.XLOOKUP("SHA-HOU",'25.7-8月'!A:A,'25.7-8月'!P:P,""),"")</f>
        <v>4600</v>
      </c>
      <c r="D13" s="416">
        <f>IFERROR(_xlfn.XLOOKUP("SHA-HOU",'25.9月'!A:A,'25.9月'!P:P,""),"")</f>
        <v>3485</v>
      </c>
      <c r="E13" s="416">
        <f>IFERROR(_xlfn.XLOOKUP("SHA-HOU",'25.10月'!A:A,'25.10月'!P:P,""),"")</f>
        <v>2886</v>
      </c>
      <c r="F13" s="416">
        <f>IFERROR(_xlfn.XLOOKUP("SHA-HOU",'25.11月'!A:A,'25.11月'!P:P,""),"")</f>
        <v>2600</v>
      </c>
      <c r="G13" s="416">
        <f>IFERROR(_xlfn.XLOOKUP("SHA-HOU",'25.12月'!A:A,'25.12月'!P:P,""),"")</f>
        <v>2600</v>
      </c>
      <c r="H13" s="417">
        <f>IFERROR(_xlfn.XLOOKUP("SHA-HOU",'26.1月'!A:A,'26.1月'!P:P,""),"")</f>
        <v>2390</v>
      </c>
      <c r="I13" s="417">
        <f>IFERROR(_xlfn.XLOOKUP("SHA-HOU",'26.2月'!A:A,'26.2月'!P:P,""),"")</f>
        <v>2450</v>
      </c>
      <c r="J13" s="417">
        <f>IFERROR(_xlfn.XLOOKUP("SHA-HOU",'26.3月'!A:A,'26.3月'!P:P,""),"")</f>
        <v>2350</v>
      </c>
      <c r="K13" s="417">
        <f>IFERROR(_xlfn.XLOOKUP("SHA-HOU",'26.3.30-4.12'!A:A,'26.3.30-4.12'!P:P,""),"")</f>
        <v>3590</v>
      </c>
      <c r="L13" s="417">
        <f>IFERROR(_xlfn.XLOOKUP("SHA-HOU",'26.4.13-4.26'!A:A,'26.4.13-4.26'!P:P,""),"")</f>
        <v>3450</v>
      </c>
      <c r="M13" s="417">
        <f>IFERROR(_xlfn.XLOOKUP("SHA-HOU",'26.5月'!A:A,'26.5月'!P:P,""),"")</f>
        <v>3249</v>
      </c>
      <c r="N13" s="417">
        <f>IFERROR(_xlfn.XLOOKUP("SHA-HOU",'26.6月'!A:A,'26.6月'!P:P,""),"")</f>
        <v>4800</v>
      </c>
      <c r="O13" s="408">
        <v>3204</v>
      </c>
      <c r="P13" s="418">
        <v>4.3478260869565202E-2</v>
      </c>
      <c r="Q13" s="410" t="s">
        <v>585</v>
      </c>
    </row>
    <row r="14" spans="1:17" ht="16" customHeight="1">
      <c r="A14" s="414" t="s">
        <v>586</v>
      </c>
      <c r="B14" s="415" t="s">
        <v>199</v>
      </c>
      <c r="C14" s="416">
        <f>IFERROR(_xlfn.XLOOKUP("SHA-Detroit",'25.7-8月'!A:A,'25.7-8月'!P:P,""),"")</f>
        <v>5000</v>
      </c>
      <c r="D14" s="416">
        <f>IFERROR(_xlfn.XLOOKUP("SHA-Detroit",'25.9月'!A:A,'25.9月'!P:P,""),"")</f>
        <v>5935</v>
      </c>
      <c r="E14" s="416">
        <f>IFERROR(_xlfn.XLOOKUP("SHA-Detroit",'25.10月'!A:A,'25.10月'!P:P,""),"")</f>
        <v>3979</v>
      </c>
      <c r="F14" s="416">
        <f>IFERROR(_xlfn.XLOOKUP("SHA-Detroit",'25.11月'!A:A,'25.11月'!P:P,""),"")</f>
        <v>4050</v>
      </c>
      <c r="G14" s="416">
        <f>IFERROR(_xlfn.XLOOKUP("SHA-Detroit",'25.12月'!A:A,'25.12月'!P:P,""),"")</f>
        <v>4050</v>
      </c>
      <c r="H14" s="417">
        <f>IFERROR(_xlfn.XLOOKUP("SHA-Detroit",'26.1月'!A:A,'26.1月'!P:P,""),"")</f>
        <v>3640</v>
      </c>
      <c r="I14" s="417">
        <f>IFERROR(_xlfn.XLOOKUP("SHA-Detroit",'26.2月'!A:A,'26.2月'!P:P,""),"")</f>
        <v>3750</v>
      </c>
      <c r="J14" s="417">
        <f>IFERROR(_xlfn.XLOOKUP("SHA-Detroit",'26.3月'!A:A,'26.3月'!P:P,""),"")</f>
        <v>3750</v>
      </c>
      <c r="K14" s="417">
        <f>IFERROR(_xlfn.XLOOKUP("SHA-Detroit",'26.3.30-4.12'!A:A,'26.3.30-4.12'!P:P,""),"")</f>
        <v>3969</v>
      </c>
      <c r="L14" s="419" t="str">
        <f>IFERROR(_xlfn.XLOOKUP("SHA-Detroit",'26.4.13-4.26'!A:A,'26.4.13-4.26'!P:P,""),"")</f>
        <v>-</v>
      </c>
      <c r="M14" s="417">
        <f>IFERROR(_xlfn.XLOOKUP("SHA-Detroit",'26.5月'!A:A,'26.5月'!P:P,""),"")</f>
        <v>4169</v>
      </c>
      <c r="N14" s="417">
        <f>IFERROR(_xlfn.XLOOKUP("SHA-Detroit",'26.6月'!A:A,'26.6月'!P:P,""),"")</f>
        <v>5800</v>
      </c>
      <c r="O14" s="408">
        <v>4372</v>
      </c>
      <c r="P14" s="409">
        <v>0.16</v>
      </c>
      <c r="Q14" s="410" t="s">
        <v>587</v>
      </c>
    </row>
    <row r="15" spans="1:17" ht="16" customHeight="1">
      <c r="A15" s="414" t="s">
        <v>588</v>
      </c>
      <c r="B15" s="415" t="s">
        <v>199</v>
      </c>
      <c r="C15" s="416">
        <f>IFERROR(_xlfn.XLOOKUP("Laem-Savanna",'25.7-8月'!A:A,'25.7-8月'!P:P,""),"")</f>
        <v>6182</v>
      </c>
      <c r="D15" s="416">
        <f>IFERROR(_xlfn.XLOOKUP("Laem-Savanna",'25.9月'!A:A,'25.9月'!P:P,""),"")</f>
        <v>6200</v>
      </c>
      <c r="E15" s="416">
        <f>IFERROR(_xlfn.XLOOKUP("Laem Chabang-Savanna",'25.10月'!A:A,'25.10月'!P:P,""),"")</f>
        <v>3770</v>
      </c>
      <c r="F15" s="416">
        <f>IFERROR(_xlfn.XLOOKUP("Laem Chabang-Savanna",'25.11月'!A:A,'25.11月'!P:P,""),"")</f>
        <v>2495</v>
      </c>
      <c r="G15" s="416">
        <f>IFERROR(_xlfn.XLOOKUP("Laem Chabang-Savanna",'25.12月'!A:A,'25.12月'!P:P,""),"")</f>
        <v>1900</v>
      </c>
      <c r="H15" s="417">
        <f>IFERROR(_xlfn.XLOOKUP("Laem-Savanna",'26.1月'!A:A,'26.1月'!P:P,""),"")</f>
        <v>2140</v>
      </c>
      <c r="I15" s="417">
        <f>IFERROR(_xlfn.XLOOKUP("Laem-Savanna",'26.2月'!A:A,'26.2月'!P:P,""),"")</f>
        <v>2500</v>
      </c>
      <c r="J15" s="417">
        <f>IFERROR(_xlfn.XLOOKUP("Laem-Savanna",'26.3月'!A:A,'26.3月'!P:P,""),"")</f>
        <v>2200</v>
      </c>
      <c r="K15" s="417">
        <f>IFERROR(_xlfn.XLOOKUP("Laem-Savanna",'26.3.30-4.12'!A:A,'26.3.30-4.12'!P:P,""),"")</f>
        <v>3570</v>
      </c>
      <c r="L15" s="417">
        <f>IFERROR(_xlfn.XLOOKUP("Laem-Savanna",'26.4.13-4.26'!A:A,'26.4.13-4.26'!P:P,""),"")</f>
        <v>3400</v>
      </c>
      <c r="M15" s="417">
        <f>IFERROR(_xlfn.XLOOKUP("Laem-Savanna",'26.5月'!A:A,'26.5月'!P:P,""),"")</f>
        <v>3830</v>
      </c>
      <c r="N15" s="417">
        <f>IFERROR(_xlfn.XLOOKUP("Laem-Savanna",'26.6月'!A:A,'26.6月'!P:P,""),"")</f>
        <v>5300</v>
      </c>
      <c r="O15" s="408">
        <v>3624</v>
      </c>
      <c r="P15" s="420">
        <v>-0.14267227434487201</v>
      </c>
      <c r="Q15" s="410" t="s">
        <v>589</v>
      </c>
    </row>
    <row r="16" spans="1:17" ht="16" customHeight="1">
      <c r="A16" s="414" t="s">
        <v>590</v>
      </c>
      <c r="B16" s="415" t="s">
        <v>199</v>
      </c>
      <c r="C16" s="416">
        <f>IFERROR(_xlfn.XLOOKUP("Nhava-Savanna",'25.7-8月'!A:A,'25.7-8月'!P:P,""),"")</f>
        <v>4870</v>
      </c>
      <c r="D16" s="416">
        <f>IFERROR(_xlfn.XLOOKUP("Nhava-Savanna",'25.9月'!A:A,'25.9月'!P:P,""),"")</f>
        <v>6500</v>
      </c>
      <c r="E16" s="416">
        <f>IFERROR(_xlfn.XLOOKUP("Nhava Sheva-Savanna",'25.10月'!A:A,'25.10月'!P:P,""),"")</f>
        <v>4737</v>
      </c>
      <c r="F16" s="416">
        <f>IFERROR(_xlfn.XLOOKUP("Nhava Sheva-Savanna",'25.11月'!A:A,'25.11月'!P:P,""),"")</f>
        <v>2485</v>
      </c>
      <c r="G16" s="416">
        <f>IFERROR(_xlfn.XLOOKUP("Nhava Sheva-Savanna",'25.12月'!A:A,'25.12月'!P:P,""),"")</f>
        <v>1750</v>
      </c>
      <c r="H16" s="417">
        <f>IFERROR(_xlfn.XLOOKUP("Nhava-Savanna",'26.1月'!A:A,'26.1月'!P:P,""),"")</f>
        <v>2490</v>
      </c>
      <c r="I16" s="417">
        <f>IFERROR(_xlfn.XLOOKUP("Nhava-Savanna",'26.2月'!A:A,'26.2月'!P:P,""),"")</f>
        <v>1950</v>
      </c>
      <c r="J16" s="417">
        <f>IFERROR(_xlfn.XLOOKUP("Nhava-Savanna",'26.3月'!A:A,'26.3月'!P:P,""),"")</f>
        <v>2193</v>
      </c>
      <c r="K16" s="417">
        <f>IFERROR(_xlfn.XLOOKUP("Nhava-Savanna",'26.3.30-4.12'!A:A,'26.3.30-4.12'!P:P,""),"")</f>
        <v>3088</v>
      </c>
      <c r="L16" s="419" t="str">
        <f>IFERROR(_xlfn.XLOOKUP("Nhava-Savanna",'26.4.13-4.26'!A:A,'26.4.13-4.26'!P:P,""),"")</f>
        <v>-</v>
      </c>
      <c r="M16" s="417">
        <f>IFERROR(_xlfn.XLOOKUP("Nhava-Savanna",'26.5月'!A:A,'26.5月'!P:P,""),"")</f>
        <v>2999</v>
      </c>
      <c r="N16" s="417">
        <f>IFERROR(_xlfn.XLOOKUP("Nhava-Savanna",'26.6月'!A:A,'26.6月'!P:P,""),"")</f>
        <v>5200</v>
      </c>
      <c r="O16" s="408">
        <v>3478</v>
      </c>
      <c r="P16" s="418">
        <v>6.7761806981519498E-2</v>
      </c>
      <c r="Q16" s="410" t="s">
        <v>591</v>
      </c>
    </row>
    <row r="17" spans="1:17" ht="16" customHeight="1">
      <c r="A17" s="414" t="s">
        <v>592</v>
      </c>
      <c r="B17" s="415" t="s">
        <v>199</v>
      </c>
      <c r="C17" s="416">
        <f>IFERROR(_xlfn.XLOOKUP("SHA-Savanna",'25.7-8月'!A:A,'25.7-8月'!P:P,""),"")</f>
        <v>4932</v>
      </c>
      <c r="D17" s="416">
        <f>IFERROR(_xlfn.XLOOKUP("SHA-Savanna",'25.9月'!A:A,'25.9月'!P:P,""),"")</f>
        <v>4849</v>
      </c>
      <c r="E17" s="416">
        <f>IFERROR(_xlfn.XLOOKUP("SHA-Savanna",'25.10月'!A:A,'25.10月'!P:P,""),"")</f>
        <v>3168</v>
      </c>
      <c r="F17" s="416">
        <f>IFERROR(_xlfn.XLOOKUP("SHA-Savanna",'25.11月'!A:A,'25.11月'!P:P,""),"")</f>
        <v>2250</v>
      </c>
      <c r="G17" s="416">
        <f>IFERROR(_xlfn.XLOOKUP("SHA-Savanna",'25.12月'!A:A,'25.12月'!P:P,""),"")</f>
        <v>1300</v>
      </c>
      <c r="H17" s="417">
        <f>IFERROR(_xlfn.XLOOKUP("SHA-Savanna",'26.1月'!A:A,'26.1月'!P:P,""),"")</f>
        <v>2247</v>
      </c>
      <c r="I17" s="417">
        <f>IFERROR(_xlfn.XLOOKUP("SHA-Savanna",'26.2月'!A:A,'26.2月'!P:P,""),"")</f>
        <v>2200</v>
      </c>
      <c r="J17" s="417">
        <f>IFERROR(_xlfn.XLOOKUP("SHA-Savanna",'26.3月'!A:A,'26.3月'!P:P,""),"")</f>
        <v>2193</v>
      </c>
      <c r="K17" s="417">
        <f>IFERROR(_xlfn.XLOOKUP("SHA-Savanna",'26.3.30-4.12'!A:A,'26.3.30-4.12'!P:P,""),"")</f>
        <v>3390</v>
      </c>
      <c r="L17" s="419" t="str">
        <f>IFERROR(_xlfn.XLOOKUP("SHA-Savanna",'26.4.13-4.26'!A:A,'26.4.13-4.26'!P:P,""),"")</f>
        <v>-</v>
      </c>
      <c r="M17" s="417">
        <f>IFERROR(_xlfn.XLOOKUP("SHA-Savanna",'26.5月'!A:A,'26.5月'!P:P,""),"")</f>
        <v>3250</v>
      </c>
      <c r="N17" s="417">
        <f>IFERROR(_xlfn.XLOOKUP("SHA-Savanna",'26.6月'!A:A,'26.6月'!P:P,""),"")</f>
        <v>5200</v>
      </c>
      <c r="O17" s="408">
        <v>3180</v>
      </c>
      <c r="P17" s="418">
        <v>5.4339010543390097E-2</v>
      </c>
      <c r="Q17" s="410" t="s">
        <v>591</v>
      </c>
    </row>
    <row r="18" spans="1:17" ht="5" customHeight="1"/>
    <row r="19" spans="1:17" ht="22" customHeight="1">
      <c r="A19" s="421" t="s">
        <v>593</v>
      </c>
      <c r="B19" s="421"/>
      <c r="C19" s="421"/>
      <c r="D19" s="421"/>
      <c r="E19" s="421"/>
      <c r="F19" s="421"/>
      <c r="G19" s="421"/>
      <c r="H19" s="421"/>
      <c r="I19" s="421"/>
      <c r="J19" s="421"/>
      <c r="K19" s="421"/>
      <c r="L19" s="421"/>
      <c r="M19" s="421"/>
      <c r="N19" s="421"/>
      <c r="O19" s="421"/>
      <c r="P19" s="421"/>
      <c r="Q19" s="421"/>
    </row>
    <row r="20" spans="1:17" ht="16" customHeight="1">
      <c r="A20" s="422" t="s">
        <v>594</v>
      </c>
      <c r="B20" s="423" t="s">
        <v>199</v>
      </c>
      <c r="C20" s="424">
        <f>IFERROR(_xlfn.XLOOKUP("SHA-Koper",'25.7-8月'!A:A,'25.7-8月'!P:P,""),"")</f>
        <v>2680</v>
      </c>
      <c r="D20" s="424">
        <f>IFERROR(_xlfn.XLOOKUP("SHA-Hamburg",'25.9月'!A:A,'25.9月'!P:P,""),"")</f>
        <v>3635</v>
      </c>
      <c r="E20" s="424">
        <f>IFERROR(_xlfn.XLOOKUP("SHA-Hamburg",'25.10月'!A:A,'25.10月'!P:P,""),"")</f>
        <v>1990</v>
      </c>
      <c r="F20" s="424">
        <f>IFERROR(_xlfn.XLOOKUP("SHA-Hamburg",'25.11月'!A:A,'25.11月'!P:P,""),"")</f>
        <v>1890</v>
      </c>
      <c r="G20" s="424">
        <f>IFERROR(_xlfn.XLOOKUP("SHA-Hamburg",'25.12月'!A:A,'25.12月'!P:P,""),"")</f>
        <v>2250</v>
      </c>
      <c r="H20" s="425">
        <f>IFERROR(_xlfn.XLOOKUP("SHA-Hamburg",'26.1月'!A:A,'26.1月'!P:P,""),"")</f>
        <v>2200</v>
      </c>
      <c r="I20" s="425">
        <f>IFERROR(_xlfn.XLOOKUP("SHA-Hamburg",'26.2月'!A:A,'26.2月'!P:P,""),"")</f>
        <v>2750</v>
      </c>
      <c r="J20" s="425">
        <f>IFERROR(_xlfn.XLOOKUP("SHA-Hamburg",'26.3月'!A:A,'26.3月'!P:P,""),"")</f>
        <v>1800</v>
      </c>
      <c r="K20" s="425">
        <f>IFERROR(_xlfn.XLOOKUP("SHA-Hamburg",'26.3.30-4.12'!A:A,'26.3.30-4.12'!P:P,""),"")</f>
        <v>3090</v>
      </c>
      <c r="L20" s="425">
        <f>IFERROR(_xlfn.XLOOKUP("SHA-Hamburg",'26.4.13-4.26'!A:A,'26.4.13-4.26'!P:P,""),"")</f>
        <v>2000</v>
      </c>
      <c r="M20" s="425">
        <f>IFERROR(_xlfn.XLOOKUP("SHA-Hamburg",'26.5月'!A:A,'26.5月'!P:P,""),"")</f>
        <v>2000</v>
      </c>
      <c r="N20" s="425">
        <f>IFERROR(_xlfn.XLOOKUP("SHA-Hamburg",'26.6月'!A:A,'26.6月'!P:P,""),"")</f>
        <v>3500</v>
      </c>
      <c r="O20" s="408">
        <v>2368</v>
      </c>
      <c r="P20" s="409">
        <v>0.30597014925373101</v>
      </c>
      <c r="Q20" s="410" t="s">
        <v>595</v>
      </c>
    </row>
    <row r="21" spans="1:17" ht="16" customHeight="1">
      <c r="A21" s="422" t="s">
        <v>596</v>
      </c>
      <c r="B21" s="423" t="s">
        <v>199</v>
      </c>
      <c r="C21" s="424">
        <f>IFERROR(_xlfn.XLOOKUP("Nhava-Hamburg",'25.7-8月'!A:A,'25.7-8月'!P:P,""),"")</f>
        <v>1995</v>
      </c>
      <c r="D21" s="424">
        <f>IFERROR(_xlfn.XLOOKUP("Nhava-Hamburg",'25.9月'!A:A,'25.9月'!P:P,""),"")</f>
        <v>4500</v>
      </c>
      <c r="E21" s="424">
        <f>IFERROR(_xlfn.XLOOKUP("Nhava Sheva-Hamburg",'25.10月'!A:A,'25.10月'!P:P,""),"")</f>
        <v>1590</v>
      </c>
      <c r="F21" s="424">
        <f>IFERROR(_xlfn.XLOOKUP("Nhava Sheva-Hamburg",'25.11月'!A:A,'25.11月'!P:P,""),"")</f>
        <v>4603</v>
      </c>
      <c r="G21" s="424">
        <f>IFERROR(_xlfn.XLOOKUP("Nhava Sheva-Hamburg",'25.12月'!A:A,'25.12月'!P:P,""),"")</f>
        <v>3300</v>
      </c>
      <c r="H21" s="425">
        <f>IFERROR(_xlfn.XLOOKUP("Nhava-Hamburg",'26.1月'!A:A,'26.1月'!P:P,""),"")</f>
        <v>1900</v>
      </c>
      <c r="I21" s="425">
        <f>IFERROR(_xlfn.XLOOKUP("Nhava-Hamburg",'26.2月'!A:A,'26.2月'!P:P,""),"")</f>
        <v>2500</v>
      </c>
      <c r="J21" s="425">
        <f>IFERROR(_xlfn.XLOOKUP("Nhava-Hamburg",'26.3月'!A:A,'26.3月'!P:P,""),"")</f>
        <v>2100</v>
      </c>
      <c r="K21" s="426" t="str">
        <f>IFERROR(_xlfn.XLOOKUP("Nhava-Hamburg",'26.3.30-4.12'!A:A,'26.3.30-4.12'!P:P,""),"")</f>
        <v>-</v>
      </c>
      <c r="L21" s="426" t="str">
        <f>IFERROR(_xlfn.XLOOKUP("Nhava-Hamburg",'26.4.13-4.26'!A:A,'26.4.13-4.26'!P:P,""),"")</f>
        <v>-</v>
      </c>
      <c r="M21" s="425">
        <f>IFERROR(_xlfn.XLOOKUP("Nhava-Hamburg",'26.5月'!A:A,'26.5月'!P:P,""),"")</f>
        <v>3149</v>
      </c>
      <c r="N21" s="426">
        <f>IFERROR(_xlfn.XLOOKUP("Nhava-Hamburg",'26.6月'!A:A,'26.6月'!P:P,""),"")</f>
        <v>3380</v>
      </c>
      <c r="O21" s="408">
        <v>2254</v>
      </c>
      <c r="P21" s="409">
        <v>0.57844611528822099</v>
      </c>
      <c r="Q21" s="412" t="s">
        <v>597</v>
      </c>
    </row>
    <row r="22" spans="1:17" ht="16" customHeight="1">
      <c r="A22" s="422" t="s">
        <v>598</v>
      </c>
      <c r="B22" s="423" t="s">
        <v>199</v>
      </c>
      <c r="C22" s="424" t="s">
        <v>221</v>
      </c>
      <c r="D22" s="424">
        <f>IFERROR(_xlfn.XLOOKUP("Bangkok-Hamburg",'25.9月'!A:A,'25.9月'!P:P,""),"")</f>
        <v>4500</v>
      </c>
      <c r="E22" s="424">
        <f>IFERROR(_xlfn.XLOOKUP("Bangkok-Hamburg",'25.10月'!A:A,'25.10月'!P:P,""),"")</f>
        <v>1590</v>
      </c>
      <c r="F22" s="424">
        <f>IFERROR(_xlfn.XLOOKUP("Bangkok-Hamburg",'25.11月'!A:A,'25.11月'!P:P,""),"")</f>
        <v>5156</v>
      </c>
      <c r="G22" s="424">
        <f>IFERROR(_xlfn.XLOOKUP("Bangkok-Hamburg",'25.12月'!A:A,'25.12月'!P:P,""),"")</f>
        <v>3190</v>
      </c>
      <c r="H22" s="425">
        <f>IFERROR(_xlfn.XLOOKUP("Bangkok-Hamburg",'26.1月'!A:A,'26.1月'!P:P,""),"")</f>
        <v>2690</v>
      </c>
      <c r="I22" s="425">
        <f>IFERROR(_xlfn.XLOOKUP("Bangkok-Hamburg",'26.2月'!A:A,'26.2月'!P:P,""),"")</f>
        <v>3800</v>
      </c>
      <c r="J22" s="425">
        <f>IFERROR(_xlfn.XLOOKUP("Bangkok-Hamburg",'26.3月'!A:A,'26.3月'!P:P,""),"")</f>
        <v>2400</v>
      </c>
      <c r="K22" s="425">
        <f>IFERROR(_xlfn.XLOOKUP("Bangkok-Hamburg",'26.3.30-4.12'!A:A,'26.3.30-4.12'!P:P,""),"")</f>
        <v>3870</v>
      </c>
      <c r="L22" s="425">
        <f>IFERROR(_xlfn.XLOOKUP("Bangkok-Hamburg",'26.4.13-4.26'!A:A,'26.4.13-4.26'!P:P,""),"")</f>
        <v>4000</v>
      </c>
      <c r="M22" s="425">
        <f>IFERROR(_xlfn.XLOOKUP("Bangkok-Hamburg",'26.5月'!A:A,'26.5月'!P:P,""),"")</f>
        <v>3530</v>
      </c>
      <c r="N22" s="425">
        <f>IFERROR(_xlfn.XLOOKUP("Bangkok-Hamburg",'26.6月'!A:A,'26.6月'!P:P,""),"")</f>
        <v>3530</v>
      </c>
      <c r="O22" s="408">
        <v>3034</v>
      </c>
      <c r="P22" s="409">
        <v>0.21364452423698399</v>
      </c>
      <c r="Q22" s="412" t="s">
        <v>599</v>
      </c>
    </row>
    <row r="23" spans="1:17" ht="16" customHeight="1">
      <c r="A23" s="422" t="s">
        <v>600</v>
      </c>
      <c r="B23" s="423" t="s">
        <v>224</v>
      </c>
      <c r="C23" s="424" t="s">
        <v>221</v>
      </c>
      <c r="D23" s="424">
        <f>IFERROR(_xlfn.XLOOKUP("Laem-Hamburg",'25.9月'!A:A,'25.9月'!P:P,""),"")</f>
        <v>4800</v>
      </c>
      <c r="E23" s="424">
        <f>IFERROR(_xlfn.XLOOKUP("Laemchabang-Hamburg",'25.10月'!A:A,'25.10月'!P:P,""),"")</f>
        <v>2340</v>
      </c>
      <c r="F23" s="424">
        <f>IFERROR(_xlfn.XLOOKUP("Laemchabang-Hamburg",'25.11月'!A:A,'25.11月'!P:P,""),"")</f>
        <v>2670</v>
      </c>
      <c r="G23" s="424">
        <f>IFERROR(_xlfn.XLOOKUP("Laemchabang-Hamburg",'25.12月'!A:A,'25.12月'!P:P,""),"")</f>
        <v>2590</v>
      </c>
      <c r="H23" s="425">
        <f>IFERROR(_xlfn.XLOOKUP("Laem-Hamburg",'26.1月'!A:A,'26.1月'!P:P,""),"")</f>
        <v>3490</v>
      </c>
      <c r="I23" s="425">
        <f>IFERROR(_xlfn.XLOOKUP("Laem-Hamburg",'26.2月'!A:A,'26.2月'!P:P,""),"")</f>
        <v>3800</v>
      </c>
      <c r="J23" s="425">
        <f>IFERROR(_xlfn.XLOOKUP("Laem-Hamburg",'26.3月'!A:A,'26.3月'!P:P,""),"")</f>
        <v>3300</v>
      </c>
      <c r="K23" s="425">
        <f>IFERROR(_xlfn.XLOOKUP("Laem-Hamburg",'26.3.30-4.12'!A:A,'26.3.30-4.12'!P:P,""),"")</f>
        <v>3870</v>
      </c>
      <c r="L23" s="425">
        <f>IFERROR(_xlfn.XLOOKUP("Laem-Hamburg",'26.4.13-4.26'!A:A,'26.4.13-4.26'!P:P,""),"")</f>
        <v>4000</v>
      </c>
      <c r="M23" s="425">
        <f>IFERROR(_xlfn.XLOOKUP("Laem-Hamburg",'26.5月'!A:A,'26.5月'!P:P,""),"")</f>
        <v>3580</v>
      </c>
      <c r="N23" s="425">
        <f>IFERROR(_xlfn.XLOOKUP("Laem-Hamburg",'26.6月'!A:A,'26.6月'!P:P,""),"")</f>
        <v>3380</v>
      </c>
      <c r="O23" s="408">
        <v>3169</v>
      </c>
      <c r="P23" s="418">
        <v>5.6250000000000001E-2</v>
      </c>
      <c r="Q23" s="410" t="s">
        <v>601</v>
      </c>
    </row>
    <row r="24" spans="1:17" ht="5" customHeight="1"/>
    <row r="25" spans="1:17" ht="22" customHeight="1">
      <c r="A25" s="427" t="s">
        <v>602</v>
      </c>
      <c r="B25" s="427"/>
      <c r="C25" s="427"/>
      <c r="D25" s="427"/>
      <c r="E25" s="427"/>
      <c r="F25" s="427"/>
      <c r="G25" s="427"/>
      <c r="H25" s="427"/>
      <c r="I25" s="427"/>
      <c r="J25" s="427"/>
      <c r="K25" s="427"/>
      <c r="L25" s="427"/>
      <c r="M25" s="427"/>
      <c r="N25" s="427"/>
      <c r="O25" s="427"/>
      <c r="P25" s="427"/>
      <c r="Q25" s="427"/>
    </row>
    <row r="26" spans="1:17" ht="16" customHeight="1">
      <c r="A26" s="428" t="s">
        <v>603</v>
      </c>
      <c r="B26" s="429" t="s">
        <v>199</v>
      </c>
      <c r="C26" s="430">
        <f>IFERROR(_xlfn.XLOOKUP("SHA-Laem",'25.7-8月'!A:A,'25.7-8月'!P:P,""),"")</f>
        <v>440</v>
      </c>
      <c r="D26" s="430">
        <f>IFERROR(_xlfn.XLOOKUP("SHA-Laem",'25.9月'!A:A,'25.9月'!P:P,""),"")</f>
        <v>490</v>
      </c>
      <c r="E26" s="430">
        <f>IFERROR('25.10月'!P31,"")</f>
        <v>395</v>
      </c>
      <c r="F26" s="430">
        <f>IFERROR('25.11月'!P31,"")</f>
        <v>395</v>
      </c>
      <c r="G26" s="430">
        <f>IFERROR('25.12月'!P32,"")</f>
        <v>395</v>
      </c>
      <c r="H26" s="431">
        <f>IFERROR(_xlfn.XLOOKUP("SHA-Laem",'26.1月'!A:A,'26.1月'!P:P,""),"")</f>
        <v>1140</v>
      </c>
      <c r="I26" s="431">
        <f>IFERROR(_xlfn.XLOOKUP("SHA-Laem",'26.2月'!A:A,'26.2月'!P:P,""),"")</f>
        <v>750</v>
      </c>
      <c r="J26" s="431">
        <f>IFERROR(_xlfn.XLOOKUP("SHA-Laem",'26.3月'!A:A,'26.3月'!P:P,""),"")</f>
        <v>650</v>
      </c>
      <c r="K26" s="431">
        <f>IFERROR(_xlfn.XLOOKUP("SHA-Laem",'26.3.30-4.12'!A:A,'26.3.30-4.12'!P:P,""),"")</f>
        <v>890</v>
      </c>
      <c r="L26" s="431">
        <f>IFERROR(_xlfn.XLOOKUP("SHA-Laem",'26.4.13-4.26'!A:A,'26.4.13-4.26'!P:P,""),"")</f>
        <v>900</v>
      </c>
      <c r="M26" s="431">
        <f>IFERROR(_xlfn.XLOOKUP("SHA-Laem",'26.5月'!A:A,'26.5月'!P:P,""),"")</f>
        <v>1230</v>
      </c>
      <c r="N26" s="431">
        <f>IFERROR(_xlfn.XLOOKUP("SHA-Laem",'26.6月'!A:A,'26.6月'!P:P,""),"")</f>
        <v>1340</v>
      </c>
      <c r="O26" s="408">
        <v>698</v>
      </c>
      <c r="P26" s="409">
        <v>2.0454545454545499</v>
      </c>
      <c r="Q26" s="412" t="s">
        <v>604</v>
      </c>
    </row>
    <row r="27" spans="1:17" ht="16" customHeight="1">
      <c r="A27" s="428" t="s">
        <v>605</v>
      </c>
      <c r="B27" s="429" t="s">
        <v>199</v>
      </c>
      <c r="C27" s="430">
        <f>IFERROR(_xlfn.XLOOKUP("SHA-Laem (Huafon)",'25.7-8月'!A:A,'25.7-8月'!P:P,""),"")</f>
        <v>440</v>
      </c>
      <c r="D27" s="430">
        <f>IFERROR(_xlfn.XLOOKUP("SHA-Laem (Huafon)",'25.9月'!A:A,'25.9月'!P:P,""),"")</f>
        <v>490</v>
      </c>
      <c r="E27" s="430">
        <f>IFERROR('25.10月'!P32,"")</f>
        <v>420</v>
      </c>
      <c r="F27" s="430">
        <f>IFERROR('25.11月'!P32,"")</f>
        <v>420</v>
      </c>
      <c r="G27" s="430">
        <f>IFERROR('25.12月'!P33,"")</f>
        <v>420</v>
      </c>
      <c r="H27" s="431">
        <f>IFERROR(_xlfn.XLOOKUP("SHA-Laem (Huafon)",'26.1月'!A:A,'26.1月'!P:P,""),"")</f>
        <v>1140</v>
      </c>
      <c r="I27" s="431">
        <f>IFERROR(_xlfn.XLOOKUP("SHA-Laem (Huafon)",'26.2月'!A:A,'26.2月'!P:P,""),"")</f>
        <v>750</v>
      </c>
      <c r="J27" s="431">
        <f>IFERROR(_xlfn.XLOOKUP("SHA-Laem (Huafon)",'26.3月'!A:A,'26.3月'!P:P,""),"")</f>
        <v>650</v>
      </c>
      <c r="K27" s="431">
        <f>IFERROR(_xlfn.XLOOKUP("SHA-Laem (Huafon)",'26.3.30-4.12'!A:A,'26.3.30-4.12'!P:P,""),"")</f>
        <v>890</v>
      </c>
      <c r="L27" s="431">
        <f>IFERROR(_xlfn.XLOOKUP("SHA-Laem (Huafon)",'26.4.13-4.26'!A:A,'26.4.13-4.26'!P:P,""),"")</f>
        <v>900</v>
      </c>
      <c r="M27" s="431">
        <f>IFERROR(_xlfn.XLOOKUP("SHA-Laem (Huafon)",'26.5月'!A:A,'26.5月'!P:P,""),"")</f>
        <v>1230</v>
      </c>
      <c r="N27" s="431">
        <f>IFERROR(_xlfn.XLOOKUP("SHA-Laem (Huafon)",'26.6月'!A:A,'26.6月'!P:P,""),"")</f>
        <v>1340</v>
      </c>
      <c r="O27" s="408">
        <v>705</v>
      </c>
      <c r="P27" s="409">
        <v>2.0454545454545499</v>
      </c>
      <c r="Q27" s="412" t="s">
        <v>604</v>
      </c>
    </row>
    <row r="28" spans="1:17" ht="16" customHeight="1">
      <c r="A28" s="428" t="s">
        <v>606</v>
      </c>
      <c r="B28" s="429" t="s">
        <v>199</v>
      </c>
      <c r="C28" s="430">
        <f>IFERROR(_xlfn.XLOOKUP("Tianjin-Laem",'25.7-8月'!A:A,'25.7-8月'!P:P,""),"")</f>
        <v>440</v>
      </c>
      <c r="D28" s="430">
        <f>IFERROR(_xlfn.XLOOKUP("Tianjin-Laem",'25.9月'!A:A,'25.9月'!P:P,""),"")</f>
        <v>300</v>
      </c>
      <c r="E28" s="430">
        <f>IFERROR(_xlfn.XLOOKUP("Tianjin-Laemchabang",'25.10月'!A:A,'25.10月'!P:P,""),"")</f>
        <v>205</v>
      </c>
      <c r="F28" s="430">
        <f>IFERROR(_xlfn.XLOOKUP("Tianjin-Laemchabang",'25.11月'!A:A,'25.11月'!P:P,""),"")</f>
        <v>205</v>
      </c>
      <c r="G28" s="430">
        <f>IFERROR(_xlfn.XLOOKUP("Tianjin-Laemchabang",'25.12月'!A:A,'25.12月'!P:P,""),"")</f>
        <v>205</v>
      </c>
      <c r="H28" s="431">
        <f>IFERROR(_xlfn.XLOOKUP("Tianjin-Laem",'26.1月'!A:A,'26.1月'!P:P,""),"")</f>
        <v>1340</v>
      </c>
      <c r="I28" s="431">
        <f>IFERROR(_xlfn.XLOOKUP("Tianjin-Laem",'26.2月'!A:A,'26.2月'!P:P,""),"")</f>
        <v>1150</v>
      </c>
      <c r="J28" s="431">
        <f>IFERROR(_xlfn.XLOOKUP("Tianjin-Laem",'26.3月'!A:A,'26.3月'!P:P,""),"")</f>
        <v>600</v>
      </c>
      <c r="K28" s="431">
        <f>IFERROR(_xlfn.XLOOKUP("Tianjin-Laem",'26.3.30-4.12'!A:A,'26.3.30-4.12'!P:P,""),"")</f>
        <v>940</v>
      </c>
      <c r="L28" s="431">
        <f>IFERROR(_xlfn.XLOOKUP("Tianjin-Laem",'26.4.13-4.26'!A:A,'26.4.13-4.26'!P:P,""),"")</f>
        <v>1100</v>
      </c>
      <c r="M28" s="431">
        <f>IFERROR(_xlfn.XLOOKUP("Tianjin-Laem",'26.5月'!A:A,'26.5月'!P:P,""),"")</f>
        <v>1380</v>
      </c>
      <c r="N28" s="431">
        <f>IFERROR(_xlfn.XLOOKUP("Tianjin-Laem",'26.6月'!A:A,'26.6月'!P:P,""),"")</f>
        <v>1600</v>
      </c>
      <c r="O28" s="408">
        <v>725</v>
      </c>
      <c r="P28" s="409">
        <v>2.6363636363636398</v>
      </c>
      <c r="Q28" s="412" t="s">
        <v>607</v>
      </c>
    </row>
    <row r="29" spans="1:17" ht="16" customHeight="1">
      <c r="A29" s="428" t="s">
        <v>608</v>
      </c>
      <c r="B29" s="429" t="s">
        <v>199</v>
      </c>
      <c r="C29" s="430">
        <f>IFERROR(_xlfn.XLOOKUP("Dubai-Laem",'25.7-8月'!A:A,'25.7-8月'!P:P,""),"")</f>
        <v>150</v>
      </c>
      <c r="D29" s="430">
        <f>IFERROR(_xlfn.XLOOKUP("Dubai-Laem",'25.9月'!A:A,'25.9月'!P:P,""),"")</f>
        <v>900</v>
      </c>
      <c r="E29" s="430">
        <f>IFERROR(_xlfn.XLOOKUP("Dubai-Laemchabang",'25.10月'!A:A,'25.10月'!P:P,""),"")</f>
        <v>400</v>
      </c>
      <c r="F29" s="430">
        <f>IFERROR(_xlfn.XLOOKUP("Dubai-Laemchabang",'25.11月'!A:A,'25.11月'!P:P,""),"")</f>
        <v>1640</v>
      </c>
      <c r="G29" s="430" t="str">
        <f>IFERROR(_xlfn.XLOOKUP("Dubai-Laemchabang",'25.12月'!A:A,'25.12月'!P:P,""),"")</f>
        <v>-</v>
      </c>
      <c r="H29" s="431" t="str">
        <f>IFERROR(_xlfn.XLOOKUP("Dubai-Laem",'26.1月'!A:A,'26.1月'!P:P,""),"")</f>
        <v>-</v>
      </c>
      <c r="I29" s="431">
        <f>IFERROR(_xlfn.XLOOKUP("Dubai-Laem",'26.2月'!A:A,'26.2月'!P:P,""),"")</f>
        <v>1000</v>
      </c>
      <c r="J29" s="431">
        <f>IFERROR(_xlfn.XLOOKUP("Dubai-Laem",'26.3月'!A:A,'26.3月'!P:P,""),"")</f>
        <v>600</v>
      </c>
      <c r="K29" s="432" t="str">
        <f>IFERROR(_xlfn.XLOOKUP("Dubai-Laem",'26.3.30-4.12'!A:A,'26.3.30-4.12'!P:P,""),"")</f>
        <v>-</v>
      </c>
      <c r="L29" s="432" t="str">
        <f>IFERROR(_xlfn.XLOOKUP("Dubai-Laem",'26.4.13-4.26'!A:A,'26.4.13-4.26'!P:P,""),"")</f>
        <v>-</v>
      </c>
      <c r="M29" s="432">
        <f>IFERROR(_xlfn.XLOOKUP("Dubai-Laem",'26.5月'!A:A,'26.5月'!P:P,""),"")</f>
        <v>0</v>
      </c>
      <c r="N29" s="432">
        <f>IFERROR(_xlfn.XLOOKUP("Dubai-Laem",'26.6月'!A:A,'26.6月'!P:P,""),"")</f>
        <v>150</v>
      </c>
      <c r="O29" s="408">
        <v>585</v>
      </c>
      <c r="P29" s="433"/>
      <c r="Q29" s="412" t="s">
        <v>609</v>
      </c>
    </row>
    <row r="30" spans="1:17" ht="5" customHeight="1"/>
    <row r="31" spans="1:17" ht="22" customHeight="1">
      <c r="A31" s="434" t="s">
        <v>610</v>
      </c>
      <c r="B31" s="434"/>
      <c r="C31" s="434"/>
      <c r="D31" s="434"/>
      <c r="E31" s="434"/>
      <c r="F31" s="434"/>
      <c r="G31" s="434"/>
      <c r="H31" s="434"/>
      <c r="I31" s="434"/>
      <c r="J31" s="434"/>
      <c r="K31" s="434"/>
      <c r="L31" s="434"/>
      <c r="M31" s="434"/>
      <c r="N31" s="434"/>
      <c r="O31" s="434"/>
      <c r="P31" s="434"/>
      <c r="Q31" s="434"/>
    </row>
    <row r="32" spans="1:17" ht="16" customHeight="1">
      <c r="A32" s="435" t="s">
        <v>611</v>
      </c>
      <c r="B32" s="436" t="s">
        <v>230</v>
      </c>
      <c r="C32" s="437">
        <f>IFERROR(_xlfn.XLOOKUP("Laem-Manzanillo",'25.7-8月'!A:A,'25.7-8月'!P:P,""),"")</f>
        <v>3500</v>
      </c>
      <c r="D32" s="437">
        <f>IFERROR(_xlfn.XLOOKUP("Laem-Manzanillo",'25.9月'!A:A,'25.9月'!P:P,""),"")</f>
        <v>3050</v>
      </c>
      <c r="E32" s="437">
        <f>IFERROR('25.10月'!P6,"")</f>
        <v>2550</v>
      </c>
      <c r="F32" s="437">
        <f>IFERROR('25.11月'!P6,"")</f>
        <v>2350</v>
      </c>
      <c r="G32" s="437">
        <f>IFERROR('25.12月'!P6,"")</f>
        <v>2048</v>
      </c>
      <c r="H32" s="438">
        <f>IFERROR(_xlfn.XLOOKUP("Laem-Manzanillo",'26.1月'!A:A,'26.1月'!P:P,""),"")</f>
        <v>1940</v>
      </c>
      <c r="I32" s="438">
        <f>IFERROR(_xlfn.XLOOKUP("Laem-Manzanillo",'26.2月'!A:A,'26.2月'!P:P,""),"")</f>
        <v>1200</v>
      </c>
      <c r="J32" s="438">
        <f>IFERROR(_xlfn.XLOOKUP("Laem-Manzanillo",'26.3月'!A:A,'26.3月'!P:P,""),"")</f>
        <v>2120</v>
      </c>
      <c r="K32" s="438">
        <f>IFERROR(_xlfn.XLOOKUP("Laem-Manzanillo",'26.3.30-4.12'!A:A,'26.3.30-4.12'!P:P,""),"")</f>
        <v>2590</v>
      </c>
      <c r="L32" s="438">
        <f>IFERROR(_xlfn.XLOOKUP("Laem-Manzanillo",'26.4.13-4.26'!A:A,'26.4.13-4.26'!P:P,""),"")</f>
        <v>2500</v>
      </c>
      <c r="M32" s="438">
        <f>IFERROR(_xlfn.XLOOKUP("Laem-Manzanillo",'26.5月'!A:A,'26.5月'!P:P,""),"")</f>
        <v>2430</v>
      </c>
      <c r="N32" s="438">
        <f>IFERROR(_xlfn.XLOOKUP("Laem-Manzanillo",'26.6月'!A:A,'26.6月'!P:P,""),"")</f>
        <v>4180</v>
      </c>
      <c r="O32" s="408">
        <v>2538</v>
      </c>
      <c r="P32" s="409">
        <v>0.19428571428571401</v>
      </c>
      <c r="Q32" s="410" t="s">
        <v>580</v>
      </c>
    </row>
    <row r="33" spans="1:17" ht="16" customHeight="1">
      <c r="A33" s="435" t="s">
        <v>612</v>
      </c>
      <c r="B33" s="436" t="s">
        <v>230</v>
      </c>
      <c r="C33" s="437">
        <f>IFERROR(_xlfn.XLOOKUP("Bangkok-Manzanillo",'25.7-8月'!A:A,'25.7-8月'!P:P,""),"")</f>
        <v>3500</v>
      </c>
      <c r="D33" s="437">
        <f>IFERROR(_xlfn.XLOOKUP("Bangkok-Manzanillo",'25.9月'!A:A,'25.9月'!P:P,""),"")</f>
        <v>2995</v>
      </c>
      <c r="E33" s="437">
        <f>IFERROR(_xlfn.XLOOKUP("Bangkok-Manzanillo",'25.10月'!A:A,'25.10月'!P:P,""),"")</f>
        <v>2550</v>
      </c>
      <c r="F33" s="437">
        <f>IFERROR(_xlfn.XLOOKUP("Bangkok-Manzanillo",'25.11月'!A:A,'25.11月'!P:P,""),"")</f>
        <v>2100</v>
      </c>
      <c r="G33" s="437">
        <f>IFERROR(_xlfn.XLOOKUP("Bangkok-Manzanillo",'25.12月'!A:A,'25.12月'!P:P,""),"")</f>
        <v>2048</v>
      </c>
      <c r="H33" s="438">
        <f>IFERROR(_xlfn.XLOOKUP("Bangkok-Manzanillo",'26.1月'!A:A,'26.1月'!P:P,""),"")</f>
        <v>1940</v>
      </c>
      <c r="I33" s="438">
        <f>IFERROR(_xlfn.XLOOKUP("Bangkok-Manzanillo",'26.2月'!A:A,'26.2月'!P:P,""),"")</f>
        <v>1200</v>
      </c>
      <c r="J33" s="438">
        <f>IFERROR(_xlfn.XLOOKUP("Bangkok-Manzanillo",'26.3月'!A:A,'26.3月'!P:P,""),"")</f>
        <v>2000</v>
      </c>
      <c r="K33" s="438">
        <f>IFERROR(_xlfn.XLOOKUP("Bangkok-Manzanillo",'26.3.30-4.12'!A:A,'26.3.30-4.12'!P:P,""),"")</f>
        <v>2590</v>
      </c>
      <c r="L33" s="438">
        <f>IFERROR(_xlfn.XLOOKUP("Bangkok-Manzanillo",'26.4.13-4.26'!A:A,'26.4.13-4.26'!P:P,""),"")</f>
        <v>2600</v>
      </c>
      <c r="M33" s="438">
        <f>IFERROR(_xlfn.XLOOKUP("Bangkok-Manzanillo",'26.5月'!A:A,'26.5月'!P:P,""),"")</f>
        <v>2430</v>
      </c>
      <c r="N33" s="438">
        <f>IFERROR(_xlfn.XLOOKUP("Bangkok-Manzanillo",'26.6月'!A:A,'26.6月'!P:P,""),"")</f>
        <v>4180</v>
      </c>
      <c r="O33" s="408">
        <v>2511</v>
      </c>
      <c r="P33" s="409">
        <v>0.19428571428571401</v>
      </c>
      <c r="Q33" s="410" t="s">
        <v>613</v>
      </c>
    </row>
    <row r="34" spans="1:17" ht="16" customHeight="1">
      <c r="A34" s="435" t="s">
        <v>614</v>
      </c>
      <c r="B34" s="436" t="s">
        <v>230</v>
      </c>
      <c r="C34" s="437" t="s">
        <v>221</v>
      </c>
      <c r="D34" s="437">
        <f>IFERROR(_xlfn.XLOOKUP("Laem-Manzanillo (TNC)",'25.9月'!A:A,'25.9月'!P:P,""),"")</f>
        <v>3200</v>
      </c>
      <c r="E34" s="437">
        <f>IFERROR('25.10月'!P8,"")</f>
        <v>2550</v>
      </c>
      <c r="F34" s="437">
        <f>IFERROR('25.11月'!P8,"")</f>
        <v>2250</v>
      </c>
      <c r="G34" s="437">
        <f>IFERROR('25.12月'!P8,"")</f>
        <v>2048</v>
      </c>
      <c r="H34" s="438">
        <f>IFERROR(_xlfn.XLOOKUP("Laem-Manzanillo (TNC)",'26.1月'!A:A,'26.1月'!P:P,""),"")</f>
        <v>1940</v>
      </c>
      <c r="I34" s="438">
        <f>IFERROR(_xlfn.XLOOKUP("Laem-Manzanillo (TNC)",'26.2月'!A:A,'26.2月'!P:P,""),"")</f>
        <v>1200</v>
      </c>
      <c r="J34" s="438">
        <f>IFERROR(_xlfn.XLOOKUP("Laem-Manzanillo (TNC)",'26.3月'!A:A,'26.3月'!P:P,""),"")</f>
        <v>2239</v>
      </c>
      <c r="K34" s="438">
        <f>IFERROR(_xlfn.XLOOKUP("Laem-Manzanillo (TNC)",'26.3.30-4.12'!A:A,'26.3.30-4.12'!P:P,""),"")</f>
        <v>2590</v>
      </c>
      <c r="L34" s="438">
        <f>IFERROR(_xlfn.XLOOKUP("Laem-Manzanillo (TNC)",'26.4.13-4.26'!A:A,'26.4.13-4.26'!P:P,""),"")</f>
        <v>2500</v>
      </c>
      <c r="M34" s="438">
        <f>IFERROR(_xlfn.XLOOKUP("Laem-Manzanillo (TNC)",'26.5月'!A:A,'26.5月'!P:P,""),"")</f>
        <v>2430</v>
      </c>
      <c r="N34" s="438">
        <f>IFERROR(_xlfn.XLOOKUP("Laem-Manzanillo (TNC)",'26.6月'!A:A,'26.6月'!P:P,""),"")</f>
        <v>4180</v>
      </c>
      <c r="O34" s="408">
        <v>2552</v>
      </c>
      <c r="P34" s="409">
        <v>0.19428571428571401</v>
      </c>
      <c r="Q34" s="410" t="s">
        <v>613</v>
      </c>
    </row>
    <row r="35" spans="1:17" ht="16" customHeight="1">
      <c r="A35" s="435" t="s">
        <v>615</v>
      </c>
      <c r="B35" s="436" t="s">
        <v>230</v>
      </c>
      <c r="C35" s="437">
        <f>IFERROR(_xlfn.XLOOKUP("Nhava-Manzanillo",'25.7-8月'!A:A,'25.7-8月'!P:P,""),"")</f>
        <v>2500</v>
      </c>
      <c r="D35" s="437">
        <f>IFERROR(_xlfn.XLOOKUP("Nhava-Manzanillo",'25.9月'!A:A,'25.9月'!P:P,""),"")</f>
        <v>2500</v>
      </c>
      <c r="E35" s="437">
        <f>IFERROR(_xlfn.XLOOKUP("Nhava Sheva-Manzanillo",'25.10月'!A:A,'25.10月'!P:P,""),"")</f>
        <v>2500</v>
      </c>
      <c r="F35" s="437">
        <f>IFERROR(_xlfn.XLOOKUP("Nhava Sheva-Manzanillo",'25.11月'!A:A,'25.11月'!P:P,""),"")</f>
        <v>2500</v>
      </c>
      <c r="G35" s="437">
        <f>IFERROR(_xlfn.XLOOKUP("Nhava Sheva-Manzanillo",'25.12月'!A:A,'25.12月'!P:P,""),"")</f>
        <v>2500</v>
      </c>
      <c r="H35" s="438">
        <f>IFERROR(_xlfn.XLOOKUP("Nhava-Manzanillo",'26.1月'!A:A,'26.1月'!P:P,""),"")</f>
        <v>2800</v>
      </c>
      <c r="I35" s="438">
        <f>IFERROR(_xlfn.XLOOKUP("Nhava-Manzanillo",'26.2月'!A:A,'26.2月'!P:P,""),"")</f>
        <v>2150</v>
      </c>
      <c r="J35" s="438">
        <f>IFERROR(_xlfn.XLOOKUP("Nhava-Manzanillo",'26.3月'!A:A,'26.3月'!P:P,""),"")</f>
        <v>2790</v>
      </c>
      <c r="K35" s="438">
        <f>IFERROR(_xlfn.XLOOKUP("Nhava-Manzanillo",'26.3.30-4.12'!A:A,'26.3.30-4.12'!P:P,""),"")</f>
        <v>3200</v>
      </c>
      <c r="L35" s="438">
        <f>IFERROR(_xlfn.XLOOKUP("Nhava-Manzanillo",'26.4.13-4.26'!A:A,'26.4.13-4.26'!P:P,""),"")</f>
        <v>3200</v>
      </c>
      <c r="M35" s="438">
        <f>IFERROR(_xlfn.XLOOKUP("Nhava-Manzanillo",'26.5月'!A:A,'26.5月'!P:P,""),"")</f>
        <v>3389</v>
      </c>
      <c r="N35" s="438">
        <f>IFERROR(_xlfn.XLOOKUP("Nhava-Manzanillo",'26.6月'!A:A,'26.6月'!P:P,""),"")</f>
        <v>4500</v>
      </c>
      <c r="O35" s="408">
        <v>2877</v>
      </c>
      <c r="P35" s="409">
        <v>0.8</v>
      </c>
      <c r="Q35" s="410" t="s">
        <v>616</v>
      </c>
    </row>
    <row r="36" spans="1:17" ht="16" customHeight="1">
      <c r="A36" s="435" t="s">
        <v>617</v>
      </c>
      <c r="B36" s="436" t="s">
        <v>230</v>
      </c>
      <c r="C36" s="437">
        <f>IFERROR(_xlfn.XLOOKUP("Incheon-Manzanillo",'25.7-8月'!A:A,'25.7-8月'!P:P,""),"")</f>
        <v>2700</v>
      </c>
      <c r="D36" s="437">
        <f>IFERROR(_xlfn.XLOOKUP("Incheon-Manzanillo",'25.9月'!A:A,'25.9月'!P:P,""),"")</f>
        <v>2800</v>
      </c>
      <c r="E36" s="437">
        <f>IFERROR(_xlfn.XLOOKUP("Incheon-Manzanillo",'25.10月'!A:A,'25.10月'!P:P,""),"")</f>
        <v>2500</v>
      </c>
      <c r="F36" s="437">
        <f>IFERROR(_xlfn.XLOOKUP("Incheon-Manzanillo",'25.11月'!A:A,'25.11月'!P:P,""),"")</f>
        <v>2390</v>
      </c>
      <c r="G36" s="437">
        <f>IFERROR(_xlfn.XLOOKUP("Incheon-Manzanillo",'25.12月'!A:A,'25.12月'!P:P,""),"")</f>
        <v>2350</v>
      </c>
      <c r="H36" s="438">
        <f>IFERROR(_xlfn.XLOOKUP("Incheon-Manzanillo",'26.1月'!A:A,'26.1月'!P:P,""),"")</f>
        <v>2340</v>
      </c>
      <c r="I36" s="438">
        <f>IFERROR(_xlfn.XLOOKUP("Incheon-Manzanillo",'26.2月'!A:A,'26.2月'!P:P,""),"")</f>
        <v>2150</v>
      </c>
      <c r="J36" s="438">
        <f>IFERROR(_xlfn.XLOOKUP("Incheon-Manzanillo",'26.3月'!A:A,'26.3月'!P:P,""),"")</f>
        <v>3400</v>
      </c>
      <c r="K36" s="438">
        <f>IFERROR(_xlfn.XLOOKUP("Incheon-Manzanillo",'26.3.30-4.12'!A:A,'26.3.30-4.12'!P:P,""),"")</f>
        <v>2990</v>
      </c>
      <c r="L36" s="438">
        <f>IFERROR(_xlfn.XLOOKUP("Incheon-Manzanillo",'26.4.13-4.26'!A:A,'26.4.13-4.26'!P:P,""),"")</f>
        <v>2800</v>
      </c>
      <c r="M36" s="438">
        <f>IFERROR(_xlfn.XLOOKUP("Incheon-Manzanillo",'26.5月'!A:A,'26.5月'!P:P,""),"")</f>
        <v>2800</v>
      </c>
      <c r="N36" s="438">
        <f>IFERROR(_xlfn.XLOOKUP("Incheon-Manzanillo",'26.6月'!A:A,'26.6月'!P:P,""),"")</f>
        <v>5440</v>
      </c>
      <c r="O36" s="408">
        <v>2888</v>
      </c>
      <c r="P36" s="409">
        <v>1.0148148148148199</v>
      </c>
      <c r="Q36" s="410" t="s">
        <v>618</v>
      </c>
    </row>
    <row r="37" spans="1:17" ht="16" customHeight="1">
      <c r="A37" s="435" t="s">
        <v>619</v>
      </c>
      <c r="B37" s="436" t="s">
        <v>230</v>
      </c>
      <c r="C37" s="437">
        <f>IFERROR(AVERAGE('25.7-8月'!P11:P17),"")</f>
        <v>2700</v>
      </c>
      <c r="D37" s="437">
        <f>IFERROR(AVERAGE('25.9月'!P11:P20),"")</f>
        <v>2695</v>
      </c>
      <c r="E37" s="437">
        <f>IFERROR(AVERAGE('25.10月'!P11:P20),"")</f>
        <v>2265</v>
      </c>
      <c r="F37" s="437">
        <f>IFERROR(AVERAGE('25.11月'!P11:P20),"")</f>
        <v>1790.5</v>
      </c>
      <c r="G37" s="437">
        <f>IFERROR(AVERAGE('25.12月'!P11:P21),"")</f>
        <v>1749</v>
      </c>
      <c r="H37" s="438">
        <f>IFERROR((SUM('26.1月'!P11:P22)-'26.1月'!P18)/(22-11+1-1),"")</f>
        <v>1840</v>
      </c>
      <c r="I37" s="438">
        <f>IFERROR((SUM('26.2月'!P11:P22)-'26.2月'!P18)/(22-11+1-1),"")</f>
        <v>1200</v>
      </c>
      <c r="J37" s="438">
        <f>IFERROR((SUM('26.3月'!P11:P22)-'26.3月'!P18)/(22-11+1-1),"")</f>
        <v>1749.5454545454545</v>
      </c>
      <c r="K37" s="438">
        <f>IFERROR((SUM('26.3.30-4.12'!P11:P22)-'26.3.30-4.12'!P18)/(22-11+1-1),"")</f>
        <v>2800</v>
      </c>
      <c r="L37" s="438">
        <f>IFERROR((SUM('26.4.13-4.26'!P11:P22)-'26.4.13-4.26'!P18)/(22-11+1-1),"")</f>
        <v>1881.8181818181818</v>
      </c>
      <c r="M37" s="438">
        <f>IFERROR((SUM('26.5月'!P11:P22)-'26.5月'!P18)/(22-11+1-1),"")</f>
        <v>2300</v>
      </c>
      <c r="N37" s="438">
        <f>IFERROR((SUM('26.6月'!P11:P22)-'26.6月'!P18)/(22-11+1-1),"")</f>
        <v>4523.636363636364</v>
      </c>
      <c r="O37" s="408">
        <v>2328</v>
      </c>
      <c r="P37" s="409">
        <v>0.67407407407407405</v>
      </c>
      <c r="Q37" s="410" t="s">
        <v>620</v>
      </c>
    </row>
    <row r="38" spans="1:17" ht="16" customHeight="1">
      <c r="A38" s="435" t="s">
        <v>621</v>
      </c>
      <c r="B38" s="436" t="s">
        <v>230</v>
      </c>
      <c r="C38" s="437" t="s">
        <v>221</v>
      </c>
      <c r="D38" s="437" t="s">
        <v>221</v>
      </c>
      <c r="E38" s="437" t="s">
        <v>221</v>
      </c>
      <c r="F38" s="437" t="s">
        <v>221</v>
      </c>
      <c r="G38" s="437" t="s">
        <v>221</v>
      </c>
      <c r="H38" s="438">
        <f>IFERROR(_xlfn.XLOOKUP("Tianjin-Manzanillo",'26.1月'!A:A,'26.1月'!P:P,""),"")</f>
        <v>2150</v>
      </c>
      <c r="I38" s="438">
        <f>IFERROR(_xlfn.XLOOKUP("Tianjin-Manzanillo",'26.2月'!A:A,'26.2月'!P:P,""),"")</f>
        <v>1350</v>
      </c>
      <c r="J38" s="438">
        <f>IFERROR(_xlfn.XLOOKUP("Tianjin-Manzanillo",'26.3月'!A:A,'26.3月'!P:P,""),"")</f>
        <v>1750</v>
      </c>
      <c r="K38" s="438">
        <f>IFERROR(_xlfn.XLOOKUP("Tianjin-Manzanillo",'26.3.30-4.12'!A:A,'26.3.30-4.12'!P:P,""),"")</f>
        <v>3000</v>
      </c>
      <c r="L38" s="438">
        <f>IFERROR(_xlfn.XLOOKUP("Tianjin-Manzanillo",'26.4.13-4.26'!A:A,'26.4.13-4.26'!P:P,""),"")</f>
        <v>2300</v>
      </c>
      <c r="M38" s="438">
        <f>IFERROR(_xlfn.XLOOKUP("Tianjin-Manzanillo",'26.5月'!A:A,'26.5月'!P:P,""),"")</f>
        <v>2680</v>
      </c>
      <c r="N38" s="438">
        <f>IFERROR(_xlfn.XLOOKUP("Tianjin-Manzanillo",'26.6月'!A:A,'26.6月'!P:P,""),"")</f>
        <v>4520</v>
      </c>
      <c r="O38" s="408">
        <v>2484</v>
      </c>
      <c r="P38" s="409">
        <v>1.0148148148148199</v>
      </c>
      <c r="Q38" s="410" t="s">
        <v>618</v>
      </c>
    </row>
    <row r="39" spans="1:17" ht="5" customHeight="1"/>
    <row r="40" spans="1:17" ht="22" customHeight="1">
      <c r="A40" s="439" t="s">
        <v>622</v>
      </c>
      <c r="B40" s="439"/>
      <c r="C40" s="439"/>
      <c r="D40" s="439"/>
      <c r="E40" s="439"/>
      <c r="F40" s="439"/>
      <c r="G40" s="439"/>
      <c r="H40" s="439"/>
      <c r="I40" s="439"/>
      <c r="J40" s="439"/>
      <c r="K40" s="439"/>
      <c r="L40" s="439"/>
      <c r="M40" s="439"/>
      <c r="N40" s="439"/>
      <c r="O40" s="439"/>
      <c r="P40" s="439"/>
      <c r="Q40" s="439"/>
    </row>
    <row r="41" spans="1:17" ht="16" customHeight="1">
      <c r="A41" s="440" t="s">
        <v>623</v>
      </c>
      <c r="B41" s="441" t="s">
        <v>199</v>
      </c>
      <c r="C41" s="442">
        <f>IFERROR(_xlfn.XLOOKUP("Laem-SHA",'25.7-8月'!A:A,'25.7-8月'!P:P,""),"")</f>
        <v>30</v>
      </c>
      <c r="D41" s="443">
        <f>IFERROR(_xlfn.XLOOKUP("Bangkok-SHA",'25.9月'!A:A,'25.9月'!P:P,""),"")</f>
        <v>1</v>
      </c>
      <c r="E41" s="443">
        <f>IFERROR(_xlfn.XLOOKUP("Bangkok-SHA",'25.10月'!A:A,'25.10月'!P:P,""),"")</f>
        <v>1</v>
      </c>
      <c r="F41" s="443">
        <f>IFERROR(_xlfn.XLOOKUP("Bangkok-SHA",'25.11月'!A:A,'25.11月'!P:P,""),"")</f>
        <v>1</v>
      </c>
      <c r="G41" s="443">
        <f>IFERROR(_xlfn.XLOOKUP("Bangkok-SHA",'25.12月'!A:A,'25.12月'!P:P,""),"")</f>
        <v>1</v>
      </c>
      <c r="H41" s="444">
        <f>IFERROR(_xlfn.XLOOKUP("Bangkok-SHA",'26.1月'!A:A,'26.1月'!P:P,""),"")</f>
        <v>1</v>
      </c>
      <c r="I41" s="444">
        <f>IFERROR(_xlfn.XLOOKUP("Bangkok-SHA",'26.2月'!A:A,'26.2月'!P:P,""),"")</f>
        <v>1</v>
      </c>
      <c r="J41" s="444">
        <f>IFERROR(_xlfn.XLOOKUP("Bangkok-SHA",'26.3月'!A:A,'26.3月'!P:P,""),"")</f>
        <v>1</v>
      </c>
      <c r="K41" s="444">
        <f>IFERROR(_xlfn.XLOOKUP("Bangkok-SHA",'26.3.30-4.12'!A:A,'26.3.30-4.12'!P:P,""),"")</f>
        <v>1</v>
      </c>
      <c r="L41" s="444">
        <f>IFERROR(_xlfn.XLOOKUP("Bangkok-SHA",'26.4.13-4.26'!A:A,'26.4.13-4.26'!P:P,""),"")</f>
        <v>1</v>
      </c>
      <c r="M41" s="444">
        <f>IFERROR(_xlfn.XLOOKUP("Bangkok-SHA",'26.5月'!A:A,'26.5月'!P:P,""),"")</f>
        <v>1</v>
      </c>
      <c r="N41" s="444">
        <f>IFERROR(_xlfn.XLOOKUP("Bangkok-SHA",'26.6月'!A:A,'26.6月'!P:P,""),"")</f>
        <v>1</v>
      </c>
      <c r="O41" s="408">
        <v>30</v>
      </c>
      <c r="P41" s="433"/>
      <c r="Q41" s="412" t="s">
        <v>624</v>
      </c>
    </row>
    <row r="42" spans="1:17" ht="16" customHeight="1">
      <c r="A42" s="440" t="s">
        <v>625</v>
      </c>
      <c r="B42" s="441" t="s">
        <v>199</v>
      </c>
      <c r="C42" s="443">
        <f>IFERROR(_xlfn.XLOOKUP("Incheon-SHA",'25.7-8月'!A:A,'25.7-8月'!P:P,""),"")</f>
        <v>1</v>
      </c>
      <c r="D42" s="443">
        <f>IFERROR(_xlfn.XLOOKUP("Incheon-SHA",'25.9月'!A:A,'25.9月'!P:P,""),"")</f>
        <v>1</v>
      </c>
      <c r="E42" s="443">
        <f>IFERROR(_xlfn.XLOOKUP("Incheon-SHA",'25.10月'!A:A,'25.10月'!P:P,""),"")</f>
        <v>1</v>
      </c>
      <c r="F42" s="443">
        <f>IFERROR(_xlfn.XLOOKUP("Incheon-SHA",'25.11月'!A:A,'25.11月'!P:P,""),"")</f>
        <v>1</v>
      </c>
      <c r="G42" s="443">
        <f>IFERROR(_xlfn.XLOOKUP("Incheon-SHA",'25.12月'!A:A,'25.12月'!P:P,""),"")</f>
        <v>1</v>
      </c>
      <c r="H42" s="444">
        <f>IFERROR(_xlfn.XLOOKUP("Incheon-SHA",'26.1月'!A:A,'26.1月'!P:P,""),"")</f>
        <v>1</v>
      </c>
      <c r="I42" s="444">
        <f>IFERROR(_xlfn.XLOOKUP("Incheon-SHA",'26.2月'!A:A,'26.2月'!P:P,""),"")</f>
        <v>1</v>
      </c>
      <c r="J42" s="444">
        <f>IFERROR(_xlfn.XLOOKUP("Incheon-SHA",'26.3月'!A:A,'26.3月'!P:P,""),"")</f>
        <v>1</v>
      </c>
      <c r="K42" s="444">
        <f>IFERROR(_xlfn.XLOOKUP("Incheon-SHA",'26.3.30-4.12'!A:A,'26.3.30-4.12'!P:P,""),"")</f>
        <v>1</v>
      </c>
      <c r="L42" s="444">
        <f>IFERROR(_xlfn.XLOOKUP("Incheon-SHA",'26.4.13-4.26'!A:A,'26.4.13-4.26'!P:P,""),"")</f>
        <v>1</v>
      </c>
      <c r="M42" s="444">
        <f>IFERROR(_xlfn.XLOOKUP("Incheon-SHA",'26.5月'!A:A,'26.5月'!P:P,""),"")</f>
        <v>1</v>
      </c>
      <c r="N42" s="444">
        <f>IFERROR(_xlfn.XLOOKUP("Incheon-SHA",'26.6月'!A:A,'26.6月'!P:P,""),"")</f>
        <v>1</v>
      </c>
      <c r="O42" s="445"/>
      <c r="P42" s="433"/>
      <c r="Q42" s="412" t="s">
        <v>624</v>
      </c>
    </row>
    <row r="43" spans="1:17" ht="5" customHeight="1"/>
    <row r="44" spans="1:17" ht="21.75" customHeight="1">
      <c r="A44" s="446" t="s">
        <v>626</v>
      </c>
      <c r="B44" s="446"/>
      <c r="C44" s="446"/>
      <c r="D44" s="446"/>
      <c r="E44" s="446"/>
      <c r="F44" s="446"/>
      <c r="G44" s="446"/>
      <c r="H44" s="446"/>
      <c r="I44" s="446"/>
      <c r="J44" s="446"/>
      <c r="K44" s="446"/>
      <c r="L44" s="446"/>
      <c r="M44" s="446"/>
      <c r="N44" s="446"/>
      <c r="O44" s="446"/>
      <c r="P44" s="446"/>
      <c r="Q44" s="446"/>
    </row>
    <row r="45" spans="1:17" ht="30" customHeight="1">
      <c r="A45" s="447" t="s">
        <v>556</v>
      </c>
      <c r="B45" s="447" t="s">
        <v>627</v>
      </c>
      <c r="C45" s="448" t="s">
        <v>562</v>
      </c>
      <c r="D45" s="448" t="s">
        <v>563</v>
      </c>
      <c r="E45" s="448" t="s">
        <v>564</v>
      </c>
      <c r="F45" s="448" t="s">
        <v>565</v>
      </c>
      <c r="G45" s="448" t="s">
        <v>566</v>
      </c>
      <c r="H45" s="448" t="s">
        <v>567</v>
      </c>
      <c r="I45" s="448" t="s">
        <v>568</v>
      </c>
      <c r="J45" s="448" t="s">
        <v>569</v>
      </c>
      <c r="K45" s="448" t="s">
        <v>570</v>
      </c>
      <c r="L45" s="448" t="s">
        <v>571</v>
      </c>
      <c r="M45" s="448" t="s">
        <v>572</v>
      </c>
      <c r="N45" s="449"/>
      <c r="O45" s="449"/>
      <c r="P45" s="449"/>
      <c r="Q45" s="449"/>
    </row>
    <row r="46" spans="1:17" ht="19.5" customHeight="1">
      <c r="A46" s="450" t="s">
        <v>628</v>
      </c>
      <c r="B46" s="451" t="s">
        <v>629</v>
      </c>
      <c r="C46" s="452">
        <v>-0.195402298850575</v>
      </c>
      <c r="D46" s="452">
        <v>-0.214285714285714</v>
      </c>
      <c r="E46" s="453">
        <v>-2.5000000000000001E-2</v>
      </c>
      <c r="F46" s="454">
        <v>0.30536130536130501</v>
      </c>
      <c r="G46" s="454">
        <v>0.189285714285714</v>
      </c>
      <c r="H46" s="454">
        <v>0.201201201201201</v>
      </c>
      <c r="I46" s="452">
        <v>-0.1835</v>
      </c>
      <c r="J46" s="453">
        <v>2.5719534598897701E-2</v>
      </c>
      <c r="K46" s="452">
        <v>-0.180597014925373</v>
      </c>
      <c r="L46" s="454">
        <v>5.61020036429873E-2</v>
      </c>
      <c r="M46" s="454">
        <v>0.72128320110382904</v>
      </c>
      <c r="N46" s="455"/>
      <c r="O46" s="455"/>
      <c r="P46" s="455"/>
      <c r="Q46" s="455"/>
    </row>
    <row r="47" spans="1:17" ht="19.5" customHeight="1">
      <c r="A47" s="456" t="s">
        <v>630</v>
      </c>
      <c r="B47" s="457" t="s">
        <v>629</v>
      </c>
      <c r="C47" s="458">
        <v>-0.24239130434782599</v>
      </c>
      <c r="D47" s="458">
        <v>-0.171879483500717</v>
      </c>
      <c r="E47" s="458">
        <v>-9.90990990990991E-2</v>
      </c>
      <c r="F47" s="459">
        <v>0</v>
      </c>
      <c r="G47" s="458">
        <v>-8.0769230769230801E-2</v>
      </c>
      <c r="H47" s="459">
        <v>2.5104602510460299E-2</v>
      </c>
      <c r="I47" s="459">
        <v>-4.08163265306122E-2</v>
      </c>
      <c r="J47" s="460">
        <v>0.52765957446808498</v>
      </c>
      <c r="K47" s="459">
        <v>-3.8997214484679701E-2</v>
      </c>
      <c r="L47" s="458">
        <v>-5.8260869565217401E-2</v>
      </c>
      <c r="M47" s="460">
        <v>0.47737765466297299</v>
      </c>
      <c r="N47" s="461"/>
      <c r="O47" s="461"/>
      <c r="P47" s="461"/>
      <c r="Q47" s="461"/>
    </row>
    <row r="48" spans="1:17" ht="19.5" customHeight="1">
      <c r="A48" s="462" t="s">
        <v>631</v>
      </c>
      <c r="B48" s="457" t="s">
        <v>629</v>
      </c>
      <c r="C48" s="459">
        <v>2.9116790682627001E-3</v>
      </c>
      <c r="D48" s="458">
        <v>-0.39193548387096799</v>
      </c>
      <c r="E48" s="458">
        <v>-0.338196286472149</v>
      </c>
      <c r="F48" s="458">
        <v>-0.23847695390781601</v>
      </c>
      <c r="G48" s="460">
        <v>0.12631578947368399</v>
      </c>
      <c r="H48" s="460">
        <v>0.168224299065421</v>
      </c>
      <c r="I48" s="458">
        <v>-0.12</v>
      </c>
      <c r="J48" s="460">
        <v>0.62272727272727302</v>
      </c>
      <c r="K48" s="459">
        <v>-4.7619047619047603E-2</v>
      </c>
      <c r="L48" s="460">
        <v>0.126470588235294</v>
      </c>
      <c r="M48" s="460">
        <v>0.38381201044386398</v>
      </c>
      <c r="N48" s="461"/>
      <c r="O48" s="461"/>
      <c r="P48" s="461"/>
      <c r="Q48" s="461"/>
    </row>
    <row r="49" spans="1:17" ht="19.5" customHeight="1">
      <c r="A49" s="463" t="s">
        <v>632</v>
      </c>
      <c r="B49" s="464" t="s">
        <v>629</v>
      </c>
      <c r="C49" s="465">
        <v>-0.152985074626866</v>
      </c>
      <c r="D49" s="465">
        <v>-0.123348017621145</v>
      </c>
      <c r="E49" s="465">
        <v>-5.0251256281407003E-2</v>
      </c>
      <c r="F49" s="466">
        <v>0.19047619047619099</v>
      </c>
      <c r="G49" s="467">
        <v>-2.2222222222222199E-2</v>
      </c>
      <c r="H49" s="466">
        <v>0.25</v>
      </c>
      <c r="I49" s="465">
        <v>-0.34545454545454601</v>
      </c>
      <c r="J49" s="466">
        <v>0.71666666666666701</v>
      </c>
      <c r="K49" s="465">
        <v>-0.35275080906148898</v>
      </c>
      <c r="L49" s="467">
        <v>0</v>
      </c>
      <c r="M49" s="466">
        <v>0.75</v>
      </c>
      <c r="N49" s="468"/>
      <c r="O49" s="468"/>
      <c r="P49" s="468"/>
      <c r="Q49" s="468"/>
    </row>
    <row r="50" spans="1:17" ht="19.5" customHeight="1">
      <c r="A50" s="469" t="s">
        <v>633</v>
      </c>
      <c r="B50" s="470" t="s">
        <v>629</v>
      </c>
      <c r="C50" s="471">
        <v>0.11363636363636399</v>
      </c>
      <c r="D50" s="472">
        <v>-0.19387755102040799</v>
      </c>
      <c r="E50" s="473">
        <v>0</v>
      </c>
      <c r="F50" s="473">
        <v>0</v>
      </c>
      <c r="G50" s="471">
        <v>0.253164556962025</v>
      </c>
      <c r="H50" s="471">
        <v>0.51515151515151503</v>
      </c>
      <c r="I50" s="472">
        <v>-0.133333333333333</v>
      </c>
      <c r="J50" s="471">
        <v>0.36923076923076897</v>
      </c>
      <c r="K50" s="473">
        <v>1.1235955056179799E-2</v>
      </c>
      <c r="L50" s="471">
        <v>0.36666666666666697</v>
      </c>
      <c r="M50" s="471">
        <v>8.9430894308943104E-2</v>
      </c>
      <c r="N50" s="474"/>
      <c r="O50" s="474"/>
      <c r="P50" s="474"/>
      <c r="Q50" s="474"/>
    </row>
    <row r="51" spans="1:17" ht="19.5" customHeight="1">
      <c r="A51" s="475" t="s">
        <v>634</v>
      </c>
      <c r="B51" s="476" t="s">
        <v>629</v>
      </c>
      <c r="C51" s="477">
        <v>-0.128571428571429</v>
      </c>
      <c r="D51" s="477">
        <v>-0.16393442622950799</v>
      </c>
      <c r="E51" s="477">
        <v>-7.8431372549019607E-2</v>
      </c>
      <c r="F51" s="477">
        <v>-0.12851063829787199</v>
      </c>
      <c r="G51" s="477">
        <v>-5.2734375E-2</v>
      </c>
      <c r="H51" s="477">
        <v>-0.38144329896907198</v>
      </c>
      <c r="I51" s="478">
        <v>0.76666666666666705</v>
      </c>
      <c r="J51" s="478">
        <v>0.22169811320754701</v>
      </c>
      <c r="K51" s="479">
        <v>-3.4749034749034798E-2</v>
      </c>
      <c r="L51" s="479">
        <v>-2.8000000000000001E-2</v>
      </c>
      <c r="M51" s="478">
        <v>0.72016460905349799</v>
      </c>
      <c r="N51" s="480"/>
      <c r="O51" s="480"/>
      <c r="P51" s="480"/>
      <c r="Q51" s="480"/>
    </row>
    <row r="52" spans="1:17" ht="19.5" customHeight="1">
      <c r="A52" s="481" t="s">
        <v>635</v>
      </c>
      <c r="B52" s="476" t="s">
        <v>629</v>
      </c>
      <c r="C52" s="479">
        <v>-1.85185185185185E-3</v>
      </c>
      <c r="D52" s="477">
        <v>-0.15844155844155799</v>
      </c>
      <c r="E52" s="477">
        <v>-0.20943562610229299</v>
      </c>
      <c r="F52" s="479">
        <v>-2.4539877300613501E-2</v>
      </c>
      <c r="G52" s="478">
        <v>6.0606060606060601E-2</v>
      </c>
      <c r="H52" s="477">
        <v>-0.35309973045822102</v>
      </c>
      <c r="I52" s="478">
        <v>0.45833333333333298</v>
      </c>
      <c r="J52" s="478">
        <v>0.6</v>
      </c>
      <c r="K52" s="477">
        <v>-0.17857142857142899</v>
      </c>
      <c r="L52" s="479">
        <v>0</v>
      </c>
      <c r="M52" s="478">
        <v>0.96521739130434803</v>
      </c>
      <c r="N52" s="480"/>
      <c r="O52" s="480"/>
      <c r="P52" s="480"/>
      <c r="Q52" s="480"/>
    </row>
    <row r="54" spans="1:17" ht="21.75" customHeight="1">
      <c r="A54" s="482" t="s">
        <v>636</v>
      </c>
      <c r="B54" s="482"/>
      <c r="C54" s="482"/>
      <c r="D54" s="482"/>
      <c r="E54" s="482"/>
      <c r="F54" s="482"/>
      <c r="G54" s="482"/>
      <c r="H54" s="482"/>
      <c r="I54" s="482"/>
      <c r="J54" s="482"/>
      <c r="K54" s="482"/>
      <c r="L54" s="482"/>
      <c r="M54" s="482"/>
      <c r="N54" s="482"/>
      <c r="O54" s="482"/>
      <c r="P54" s="482"/>
      <c r="Q54" s="482"/>
    </row>
    <row r="55" spans="1:17" ht="19.5" customHeight="1">
      <c r="A55" s="483" t="s">
        <v>637</v>
      </c>
      <c r="B55" s="483"/>
      <c r="C55" s="483"/>
      <c r="D55" s="483"/>
      <c r="E55" s="483"/>
      <c r="F55" s="483"/>
      <c r="G55" s="483"/>
      <c r="H55" s="483"/>
      <c r="I55" s="483"/>
      <c r="J55" s="483"/>
      <c r="K55" s="483"/>
      <c r="L55" s="483"/>
      <c r="M55" s="483"/>
      <c r="N55" s="483"/>
      <c r="O55" s="483"/>
      <c r="P55" s="483"/>
      <c r="Q55" s="483"/>
    </row>
    <row r="56" spans="1:17" ht="43.5" customHeight="1">
      <c r="A56" s="484" t="s">
        <v>638</v>
      </c>
      <c r="B56" s="484"/>
      <c r="C56" s="484"/>
      <c r="D56" s="484"/>
      <c r="E56" s="484"/>
      <c r="F56" s="484"/>
      <c r="G56" s="484"/>
      <c r="H56" s="484"/>
      <c r="I56" s="484"/>
      <c r="J56" s="484"/>
      <c r="K56" s="484"/>
      <c r="L56" s="484"/>
      <c r="M56" s="484"/>
      <c r="N56" s="484"/>
      <c r="O56" s="484"/>
      <c r="P56" s="484"/>
      <c r="Q56" s="484"/>
    </row>
    <row r="57" spans="1:17" ht="19.5" customHeight="1">
      <c r="A57" s="483" t="s">
        <v>639</v>
      </c>
      <c r="B57" s="483"/>
      <c r="C57" s="483"/>
      <c r="D57" s="483"/>
      <c r="E57" s="483"/>
      <c r="F57" s="483"/>
      <c r="G57" s="483"/>
      <c r="H57" s="483"/>
      <c r="I57" s="483"/>
      <c r="J57" s="483"/>
      <c r="K57" s="483"/>
      <c r="L57" s="483"/>
      <c r="M57" s="483"/>
      <c r="N57" s="483"/>
      <c r="O57" s="483"/>
      <c r="P57" s="483"/>
      <c r="Q57" s="483"/>
    </row>
    <row r="58" spans="1:17" ht="43.5" customHeight="1">
      <c r="A58" s="485" t="s">
        <v>640</v>
      </c>
      <c r="B58" s="485"/>
      <c r="C58" s="485"/>
      <c r="D58" s="485"/>
      <c r="E58" s="485"/>
      <c r="F58" s="485"/>
      <c r="G58" s="485"/>
      <c r="H58" s="485"/>
      <c r="I58" s="485"/>
      <c r="J58" s="485"/>
      <c r="K58" s="485"/>
      <c r="L58" s="485"/>
      <c r="M58" s="485"/>
      <c r="N58" s="485"/>
      <c r="O58" s="485"/>
      <c r="P58" s="485"/>
      <c r="Q58" s="485"/>
    </row>
    <row r="59" spans="1:17" ht="19.5" customHeight="1">
      <c r="A59" s="511" t="s">
        <v>694</v>
      </c>
      <c r="B59" s="483"/>
      <c r="C59" s="483"/>
      <c r="D59" s="483"/>
      <c r="E59" s="483"/>
      <c r="F59" s="483"/>
      <c r="G59" s="483"/>
      <c r="H59" s="483"/>
      <c r="I59" s="483"/>
      <c r="J59" s="483"/>
      <c r="K59" s="483"/>
      <c r="L59" s="483"/>
      <c r="M59" s="483"/>
      <c r="N59" s="483"/>
      <c r="O59" s="483"/>
      <c r="P59" s="483"/>
      <c r="Q59" s="483"/>
    </row>
    <row r="60" spans="1:17" ht="43.5" customHeight="1">
      <c r="A60" s="526" t="s">
        <v>687</v>
      </c>
      <c r="B60" s="527"/>
      <c r="C60" s="527"/>
      <c r="D60" s="527"/>
      <c r="E60" s="527"/>
      <c r="F60" s="527"/>
      <c r="G60" s="527"/>
      <c r="H60" s="527"/>
      <c r="I60" s="527"/>
      <c r="J60" s="527"/>
      <c r="K60" s="527"/>
      <c r="L60" s="527"/>
      <c r="M60" s="527"/>
      <c r="N60" s="485"/>
      <c r="O60" s="485"/>
      <c r="P60" s="485"/>
      <c r="Q60" s="485"/>
    </row>
    <row r="61" spans="1:17" ht="19.5" customHeight="1">
      <c r="A61" s="486" t="s">
        <v>688</v>
      </c>
      <c r="B61" s="510"/>
      <c r="C61" s="510"/>
      <c r="D61" s="510"/>
      <c r="E61" s="510"/>
      <c r="F61" s="510"/>
      <c r="G61" s="510"/>
      <c r="H61" s="510"/>
      <c r="I61" s="510"/>
      <c r="J61" s="510"/>
      <c r="K61" s="510"/>
      <c r="L61" s="510"/>
      <c r="M61" s="510"/>
      <c r="N61" s="486"/>
      <c r="O61" s="486"/>
      <c r="P61" s="486"/>
      <c r="Q61" s="486"/>
    </row>
    <row r="62" spans="1:17" ht="43.5" customHeight="1">
      <c r="A62" s="506" t="s">
        <v>689</v>
      </c>
      <c r="B62" s="508"/>
      <c r="C62" s="508"/>
      <c r="D62" s="508"/>
      <c r="E62" s="508"/>
      <c r="F62" s="508"/>
      <c r="G62" s="508"/>
      <c r="H62" s="508"/>
      <c r="I62" s="508"/>
      <c r="J62" s="508"/>
      <c r="K62" s="508"/>
      <c r="L62" s="508"/>
      <c r="M62" s="508"/>
      <c r="N62" s="484"/>
      <c r="O62" s="484"/>
      <c r="P62" s="484"/>
      <c r="Q62" s="484"/>
    </row>
    <row r="63" spans="1:17">
      <c r="A63" s="507" t="s">
        <v>690</v>
      </c>
      <c r="B63" s="501">
        <f>C13</f>
        <v>4600</v>
      </c>
      <c r="C63" s="501">
        <f>D13</f>
        <v>3485</v>
      </c>
      <c r="D63" s="501">
        <f>E13</f>
        <v>2886</v>
      </c>
      <c r="E63" s="501">
        <f>F13</f>
        <v>2600</v>
      </c>
      <c r="F63" s="501">
        <f>G13</f>
        <v>2600</v>
      </c>
      <c r="G63" s="501">
        <f>H13</f>
        <v>2390</v>
      </c>
      <c r="H63" s="501">
        <f>I13</f>
        <v>2450</v>
      </c>
      <c r="I63" s="501">
        <f>J13</f>
        <v>2350</v>
      </c>
      <c r="J63" s="501">
        <f>K13</f>
        <v>3590</v>
      </c>
      <c r="K63" s="501">
        <f>L13</f>
        <v>3450</v>
      </c>
      <c r="L63" s="501">
        <f>M13</f>
        <v>3249</v>
      </c>
      <c r="M63" s="501">
        <f>N13</f>
        <v>4800</v>
      </c>
    </row>
    <row r="64" spans="1:17" ht="21.75" customHeight="1">
      <c r="A64" s="487" t="s">
        <v>691</v>
      </c>
      <c r="B64" s="509"/>
      <c r="C64" s="509"/>
      <c r="D64" s="509"/>
      <c r="E64" s="509"/>
      <c r="F64" s="509"/>
      <c r="G64" s="509"/>
      <c r="H64" s="509"/>
      <c r="I64" s="509"/>
      <c r="J64" s="509"/>
      <c r="K64" s="509"/>
      <c r="L64" s="509"/>
      <c r="M64" s="509"/>
      <c r="N64" s="487"/>
      <c r="O64" s="487"/>
      <c r="P64" s="487"/>
      <c r="Q64" s="487"/>
    </row>
    <row r="65" spans="1:13" ht="27.75" customHeight="1">
      <c r="A65" s="488" t="s">
        <v>692</v>
      </c>
      <c r="B65" s="502">
        <f>C32</f>
        <v>3500</v>
      </c>
      <c r="C65" s="502">
        <f>D32</f>
        <v>3050</v>
      </c>
      <c r="D65" s="502">
        <f>E32</f>
        <v>2550</v>
      </c>
      <c r="E65" s="502">
        <f>F32</f>
        <v>2350</v>
      </c>
      <c r="F65" s="503">
        <f>G32</f>
        <v>2048</v>
      </c>
      <c r="G65" s="503">
        <f>H32</f>
        <v>1940</v>
      </c>
      <c r="H65" s="501">
        <f>I32</f>
        <v>1200</v>
      </c>
      <c r="I65" s="501">
        <f>J32</f>
        <v>2120</v>
      </c>
      <c r="J65" s="501">
        <f>K32</f>
        <v>2590</v>
      </c>
      <c r="K65" s="501">
        <f>L32</f>
        <v>2500</v>
      </c>
      <c r="L65" s="501">
        <f>M32</f>
        <v>2430</v>
      </c>
      <c r="M65" s="501">
        <f>N32</f>
        <v>4180</v>
      </c>
    </row>
    <row r="66" spans="1:13" ht="21.75" customHeight="1">
      <c r="A66" s="450" t="s">
        <v>693</v>
      </c>
      <c r="B66" s="504">
        <f>C26</f>
        <v>440</v>
      </c>
      <c r="C66" s="504">
        <f>D26</f>
        <v>490</v>
      </c>
      <c r="D66" s="504">
        <f>E26</f>
        <v>395</v>
      </c>
      <c r="E66" s="504">
        <f>F26</f>
        <v>395</v>
      </c>
      <c r="F66" s="505">
        <f>G26</f>
        <v>395</v>
      </c>
      <c r="G66" s="505">
        <f>H26</f>
        <v>1140</v>
      </c>
      <c r="H66" s="501">
        <f>I26</f>
        <v>750</v>
      </c>
      <c r="I66" s="501">
        <f>J26</f>
        <v>650</v>
      </c>
      <c r="J66" s="501">
        <f>K26</f>
        <v>890</v>
      </c>
      <c r="K66" s="501">
        <f>L26</f>
        <v>900</v>
      </c>
      <c r="L66" s="501">
        <f>M26</f>
        <v>1230</v>
      </c>
      <c r="M66" s="501">
        <f>N26</f>
        <v>1340</v>
      </c>
    </row>
    <row r="67" spans="1:13" ht="21.75" customHeight="1">
      <c r="A67" s="456"/>
      <c r="B67" s="489"/>
      <c r="C67" s="489"/>
      <c r="D67" s="489"/>
      <c r="E67" s="489"/>
      <c r="F67" s="490"/>
      <c r="G67" s="490"/>
    </row>
    <row r="68" spans="1:13" ht="21.75" customHeight="1">
      <c r="A68" s="456" t="s">
        <v>644</v>
      </c>
      <c r="B68" s="489" t="s">
        <v>645</v>
      </c>
      <c r="C68" s="489" t="s">
        <v>646</v>
      </c>
      <c r="D68" s="489" t="s">
        <v>647</v>
      </c>
      <c r="E68" s="489" t="s">
        <v>648</v>
      </c>
      <c r="F68" s="490" t="s">
        <v>649</v>
      </c>
      <c r="G68" s="490" t="s">
        <v>650</v>
      </c>
    </row>
    <row r="69" spans="1:13" ht="21.75" customHeight="1">
      <c r="A69" s="456" t="s">
        <v>631</v>
      </c>
      <c r="B69" s="489" t="s">
        <v>651</v>
      </c>
      <c r="C69" s="489" t="s">
        <v>643</v>
      </c>
      <c r="D69" s="489" t="s">
        <v>642</v>
      </c>
      <c r="E69" s="489" t="s">
        <v>648</v>
      </c>
      <c r="F69" s="490" t="s">
        <v>652</v>
      </c>
      <c r="G69" s="490" t="s">
        <v>653</v>
      </c>
    </row>
    <row r="70" spans="1:13" ht="21.75" customHeight="1">
      <c r="A70" s="463" t="s">
        <v>654</v>
      </c>
      <c r="B70" s="491" t="s">
        <v>642</v>
      </c>
      <c r="C70" s="491" t="s">
        <v>655</v>
      </c>
      <c r="D70" s="491" t="s">
        <v>643</v>
      </c>
      <c r="E70" s="491" t="s">
        <v>647</v>
      </c>
      <c r="F70" s="492" t="s">
        <v>656</v>
      </c>
      <c r="G70" s="492" t="s">
        <v>657</v>
      </c>
    </row>
    <row r="71" spans="1:13" ht="21.75" customHeight="1">
      <c r="A71" s="469" t="s">
        <v>658</v>
      </c>
      <c r="B71" s="493" t="s">
        <v>659</v>
      </c>
      <c r="C71" s="493" t="s">
        <v>660</v>
      </c>
      <c r="D71" s="493" t="s">
        <v>661</v>
      </c>
      <c r="E71" s="493" t="s">
        <v>662</v>
      </c>
      <c r="F71" s="494" t="s">
        <v>663</v>
      </c>
      <c r="G71" s="495" t="s">
        <v>664</v>
      </c>
    </row>
    <row r="72" spans="1:13" ht="21.75" customHeight="1">
      <c r="A72" s="475" t="s">
        <v>634</v>
      </c>
      <c r="B72" s="496" t="s">
        <v>665</v>
      </c>
      <c r="C72" s="496" t="s">
        <v>662</v>
      </c>
      <c r="D72" s="496" t="s">
        <v>646</v>
      </c>
      <c r="E72" s="496" t="s">
        <v>666</v>
      </c>
      <c r="F72" s="497" t="s">
        <v>667</v>
      </c>
      <c r="G72" s="497" t="s">
        <v>668</v>
      </c>
    </row>
    <row r="73" spans="1:13" ht="21.75" customHeight="1">
      <c r="A73" s="475" t="s">
        <v>669</v>
      </c>
      <c r="B73" s="496" t="s">
        <v>670</v>
      </c>
      <c r="C73" s="496" t="s">
        <v>662</v>
      </c>
      <c r="D73" s="496" t="s">
        <v>646</v>
      </c>
      <c r="E73" s="496" t="s">
        <v>666</v>
      </c>
      <c r="F73" s="497" t="s">
        <v>671</v>
      </c>
      <c r="G73" s="497" t="s">
        <v>672</v>
      </c>
    </row>
    <row r="74" spans="1:13" ht="21.75" customHeight="1">
      <c r="A74" s="475" t="s">
        <v>673</v>
      </c>
      <c r="B74" s="496" t="s">
        <v>674</v>
      </c>
      <c r="C74" s="496" t="s">
        <v>641</v>
      </c>
      <c r="D74" s="496" t="s">
        <v>675</v>
      </c>
      <c r="E74" s="496" t="s">
        <v>648</v>
      </c>
      <c r="F74" s="497" t="s">
        <v>676</v>
      </c>
      <c r="G74" s="497" t="s">
        <v>677</v>
      </c>
    </row>
    <row r="77" spans="1:13">
      <c r="A77" s="498" t="s">
        <v>678</v>
      </c>
      <c r="B77" s="499" t="s">
        <v>561</v>
      </c>
      <c r="C77" s="499" t="s">
        <v>562</v>
      </c>
      <c r="D77" s="499" t="s">
        <v>563</v>
      </c>
      <c r="E77" s="499" t="s">
        <v>564</v>
      </c>
      <c r="F77" s="499" t="s">
        <v>565</v>
      </c>
      <c r="G77" s="499" t="s">
        <v>566</v>
      </c>
      <c r="H77" s="499" t="s">
        <v>567</v>
      </c>
      <c r="I77" s="499" t="s">
        <v>568</v>
      </c>
      <c r="J77" s="499" t="s">
        <v>569</v>
      </c>
      <c r="K77" s="499" t="s">
        <v>570</v>
      </c>
      <c r="L77" s="499" t="s">
        <v>571</v>
      </c>
      <c r="M77" s="499" t="s">
        <v>572</v>
      </c>
    </row>
    <row r="78" spans="1:13">
      <c r="A78" s="499" t="s">
        <v>679</v>
      </c>
      <c r="B78" s="498">
        <v>3480</v>
      </c>
      <c r="C78" s="498">
        <v>2800</v>
      </c>
      <c r="D78" s="498">
        <v>2200</v>
      </c>
      <c r="E78" s="498">
        <v>2145</v>
      </c>
      <c r="F78" s="498">
        <v>2800</v>
      </c>
      <c r="G78" s="498">
        <v>3330</v>
      </c>
      <c r="H78" s="498">
        <v>4000</v>
      </c>
      <c r="I78" s="498">
        <v>3266</v>
      </c>
      <c r="J78" s="498">
        <v>3350</v>
      </c>
      <c r="K78" s="498">
        <v>2745</v>
      </c>
      <c r="L78" s="498">
        <v>2899</v>
      </c>
      <c r="M78" s="498">
        <v>4990</v>
      </c>
    </row>
    <row r="79" spans="1:13">
      <c r="A79" s="499" t="s">
        <v>680</v>
      </c>
      <c r="B79" s="498">
        <v>4600</v>
      </c>
      <c r="C79" s="498">
        <v>3485</v>
      </c>
      <c r="D79" s="498">
        <v>2886</v>
      </c>
      <c r="E79" s="498">
        <v>2600</v>
      </c>
      <c r="F79" s="498">
        <v>2600</v>
      </c>
      <c r="G79" s="498">
        <v>2390</v>
      </c>
      <c r="H79" s="498">
        <v>2450</v>
      </c>
      <c r="I79" s="498">
        <v>2350</v>
      </c>
      <c r="J79" s="498">
        <v>3590</v>
      </c>
      <c r="K79" s="498">
        <v>3450</v>
      </c>
      <c r="L79" s="498">
        <v>3249</v>
      </c>
      <c r="M79" s="498">
        <v>4800</v>
      </c>
    </row>
    <row r="80" spans="1:13">
      <c r="A80" s="499" t="s">
        <v>681</v>
      </c>
      <c r="B80" s="498">
        <v>6182</v>
      </c>
      <c r="C80" s="498">
        <v>6200</v>
      </c>
      <c r="D80" s="498">
        <v>3770</v>
      </c>
      <c r="E80" s="498">
        <v>2495</v>
      </c>
      <c r="F80" s="498">
        <v>1900</v>
      </c>
      <c r="G80" s="498">
        <v>2140</v>
      </c>
      <c r="H80" s="498">
        <v>2500</v>
      </c>
      <c r="I80" s="498">
        <v>2200</v>
      </c>
      <c r="J80" s="498">
        <v>3570</v>
      </c>
      <c r="K80" s="498">
        <v>3400</v>
      </c>
      <c r="L80" s="498">
        <v>3830</v>
      </c>
      <c r="M80" s="498">
        <v>5300</v>
      </c>
    </row>
    <row r="81" spans="1:13">
      <c r="A81" s="499" t="s">
        <v>682</v>
      </c>
      <c r="B81" s="498">
        <v>2680</v>
      </c>
      <c r="C81" s="498">
        <v>2270</v>
      </c>
      <c r="D81" s="498">
        <v>1990</v>
      </c>
      <c r="E81" s="498">
        <v>1890</v>
      </c>
      <c r="F81" s="498">
        <v>2250</v>
      </c>
      <c r="G81" s="498">
        <v>2200</v>
      </c>
      <c r="H81" s="498">
        <v>2750</v>
      </c>
      <c r="I81" s="498">
        <v>1800</v>
      </c>
      <c r="J81" s="498">
        <v>3090</v>
      </c>
      <c r="K81" s="498">
        <v>2000</v>
      </c>
      <c r="L81" s="498">
        <v>2000</v>
      </c>
      <c r="M81" s="498">
        <v>3500</v>
      </c>
    </row>
    <row r="82" spans="1:13">
      <c r="A82" s="499" t="s">
        <v>683</v>
      </c>
      <c r="B82" s="498">
        <v>440</v>
      </c>
      <c r="C82" s="498">
        <v>490</v>
      </c>
      <c r="D82" s="498">
        <v>395</v>
      </c>
      <c r="E82" s="498">
        <v>395</v>
      </c>
      <c r="F82" s="498">
        <v>395</v>
      </c>
      <c r="G82" s="498">
        <v>495</v>
      </c>
      <c r="H82" s="498">
        <v>750</v>
      </c>
      <c r="I82" s="498">
        <v>650</v>
      </c>
      <c r="J82" s="498">
        <v>890</v>
      </c>
      <c r="K82" s="498">
        <v>900</v>
      </c>
      <c r="L82" s="498">
        <v>1230</v>
      </c>
      <c r="M82" s="498">
        <v>1340</v>
      </c>
    </row>
    <row r="83" spans="1:13">
      <c r="A83" s="499" t="s">
        <v>684</v>
      </c>
      <c r="B83" s="498">
        <v>3500</v>
      </c>
      <c r="C83" s="498">
        <v>3050</v>
      </c>
      <c r="D83" s="498">
        <v>2550</v>
      </c>
      <c r="E83" s="498">
        <v>2350</v>
      </c>
      <c r="F83" s="498">
        <v>2048</v>
      </c>
      <c r="G83" s="498">
        <v>1940</v>
      </c>
      <c r="H83" s="498">
        <v>1200</v>
      </c>
      <c r="I83" s="498">
        <v>2120</v>
      </c>
      <c r="J83" s="498">
        <v>2590</v>
      </c>
      <c r="K83" s="498">
        <v>2500</v>
      </c>
      <c r="L83" s="498">
        <v>2430</v>
      </c>
      <c r="M83" s="498">
        <v>4180</v>
      </c>
    </row>
    <row r="84" spans="1:13">
      <c r="A84" s="499" t="s">
        <v>685</v>
      </c>
      <c r="B84" s="498">
        <v>2700</v>
      </c>
      <c r="C84" s="498">
        <v>2695</v>
      </c>
      <c r="D84" s="498">
        <v>2268</v>
      </c>
      <c r="E84" s="498">
        <v>1793</v>
      </c>
      <c r="F84" s="498">
        <v>1749</v>
      </c>
      <c r="G84" s="498">
        <v>1855</v>
      </c>
      <c r="H84" s="498">
        <v>1200</v>
      </c>
      <c r="I84" s="498">
        <v>1750</v>
      </c>
      <c r="J84" s="498">
        <v>2800</v>
      </c>
      <c r="K84" s="498">
        <v>2300</v>
      </c>
      <c r="L84" s="498">
        <v>2300</v>
      </c>
      <c r="M84" s="498">
        <v>4520</v>
      </c>
    </row>
    <row r="85" spans="1:13">
      <c r="A85" s="500" t="s">
        <v>686</v>
      </c>
      <c r="B85" s="402">
        <v>70</v>
      </c>
      <c r="C85" s="402">
        <v>68</v>
      </c>
      <c r="D85" s="402">
        <v>64</v>
      </c>
      <c r="E85" s="402">
        <v>64</v>
      </c>
      <c r="F85" s="402">
        <v>63</v>
      </c>
      <c r="G85" s="402">
        <v>64.59</v>
      </c>
      <c r="H85" s="402">
        <v>69.41</v>
      </c>
      <c r="I85" s="402">
        <v>103.1</v>
      </c>
      <c r="J85" s="402">
        <v>117</v>
      </c>
      <c r="K85" s="402">
        <v>117</v>
      </c>
      <c r="L85" s="402">
        <v>106</v>
      </c>
      <c r="M85" s="402">
        <v>106</v>
      </c>
    </row>
  </sheetData>
  <mergeCells count="22">
    <mergeCell ref="A60:Q60"/>
    <mergeCell ref="A61:Q61"/>
    <mergeCell ref="A62:Q62"/>
    <mergeCell ref="A64:Q64"/>
    <mergeCell ref="A54:Q54"/>
    <mergeCell ref="A55:Q55"/>
    <mergeCell ref="A56:Q56"/>
    <mergeCell ref="A57:Q57"/>
    <mergeCell ref="A58:Q58"/>
    <mergeCell ref="A59:Q59"/>
    <mergeCell ref="A12:Q12"/>
    <mergeCell ref="A19:Q19"/>
    <mergeCell ref="A25:Q25"/>
    <mergeCell ref="A31:Q31"/>
    <mergeCell ref="A40:Q40"/>
    <mergeCell ref="A44:Q44"/>
    <mergeCell ref="A1:Q1"/>
    <mergeCell ref="A2:Q2"/>
    <mergeCell ref="C3:G3"/>
    <mergeCell ref="H3:N3"/>
    <mergeCell ref="A4:Q4"/>
    <mergeCell ref="A8:Q8"/>
  </mergeCells>
  <conditionalFormatting sqref="O9:O42">
    <cfRule type="dataBar" priority="1">
      <dataBar>
        <cfvo type="min"/>
        <cfvo type="max"/>
        <color rgb="FFB4C7E7"/>
      </dataBar>
      <extLst>
        <ext xmlns:x14="http://schemas.microsoft.com/office/spreadsheetml/2009/9/main" uri="{B025F937-C7B1-47D3-B67F-A62EFF666E3E}">
          <x14:id>{AC90C047-6078-4549-87EB-462B92DB6A28}</x14:id>
        </ext>
      </extLst>
    </cfRule>
  </conditionalFormatting>
  <conditionalFormatting sqref="P9:P42">
    <cfRule type="dataBar" priority="2">
      <dataBar>
        <cfvo type="min"/>
        <cfvo type="max"/>
        <color rgb="FFF4B7B7"/>
      </dataBar>
      <extLst>
        <ext xmlns:x14="http://schemas.microsoft.com/office/spreadsheetml/2009/9/main" uri="{B025F937-C7B1-47D3-B67F-A62EFF666E3E}">
          <x14:id>{414D5184-7FEE-9E48-90FC-4E6F4480EC32}</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AC90C047-6078-4549-87EB-462B92DB6A28}">
            <x14:dataBar minLength="0" maxLength="100" gradient="0" direction="leftToRight" negativeBarColorSameAsPositive="1" axisPosition="none">
              <x14:cfvo type="min"/>
              <x14:cfvo type="max"/>
            </x14:dataBar>
          </x14:cfRule>
          <xm:sqref>O9:O42</xm:sqref>
        </x14:conditionalFormatting>
        <x14:conditionalFormatting xmlns:xm="http://schemas.microsoft.com/office/excel/2006/main">
          <x14:cfRule type="dataBar" id="{414D5184-7FEE-9E48-90FC-4E6F4480EC32}">
            <x14:dataBar minLength="0" maxLength="100" gradient="0" direction="leftToRight">
              <x14:cfvo type="min"/>
              <x14:cfvo type="max"/>
              <x14:negativeFillColor rgb="FFB7D4B7"/>
              <x14:axisColor rgb="FF888888"/>
            </x14:dataBar>
          </x14:cfRule>
          <xm:sqref>P9:P42</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F21A0-2B61-614E-92BB-E1CD0137F97E}">
  <dimension ref="A2:Y47"/>
  <sheetViews>
    <sheetView workbookViewId="0"/>
  </sheetViews>
  <sheetFormatPr baseColWidth="10" defaultRowHeight="15"/>
  <sheetData>
    <row r="2" spans="1:22">
      <c r="I2" t="s">
        <v>511</v>
      </c>
    </row>
    <row r="3" spans="1:22">
      <c r="A3" t="s">
        <v>1</v>
      </c>
      <c r="B3" t="s">
        <v>2</v>
      </c>
      <c r="C3" t="s">
        <v>3</v>
      </c>
      <c r="D3" t="s">
        <v>4</v>
      </c>
      <c r="E3" t="s">
        <v>136</v>
      </c>
      <c r="F3" t="s">
        <v>512</v>
      </c>
      <c r="G3" t="s">
        <v>6</v>
      </c>
      <c r="H3" t="s">
        <v>513</v>
      </c>
      <c r="I3" t="s">
        <v>132</v>
      </c>
      <c r="J3" t="s">
        <v>121</v>
      </c>
      <c r="K3" t="s">
        <v>514</v>
      </c>
      <c r="L3" t="s">
        <v>129</v>
      </c>
      <c r="M3" t="s">
        <v>515</v>
      </c>
      <c r="N3" t="s">
        <v>516</v>
      </c>
      <c r="O3" t="s">
        <v>131</v>
      </c>
      <c r="P3" t="s">
        <v>517</v>
      </c>
      <c r="Q3" t="s">
        <v>518</v>
      </c>
      <c r="R3" t="s">
        <v>519</v>
      </c>
      <c r="S3" t="s">
        <v>520</v>
      </c>
      <c r="T3" t="s">
        <v>521</v>
      </c>
      <c r="U3" t="s">
        <v>522</v>
      </c>
      <c r="V3" t="s">
        <v>135</v>
      </c>
    </row>
    <row r="4" spans="1:22">
      <c r="A4" t="s">
        <v>15</v>
      </c>
      <c r="B4" t="s">
        <v>16</v>
      </c>
      <c r="C4" t="s">
        <v>17</v>
      </c>
      <c r="D4" t="s">
        <v>18</v>
      </c>
      <c r="E4" t="s">
        <v>19</v>
      </c>
      <c r="G4" t="s">
        <v>20</v>
      </c>
      <c r="H4">
        <v>6</v>
      </c>
      <c r="I4">
        <v>7245</v>
      </c>
      <c r="J4">
        <v>8334</v>
      </c>
      <c r="K4">
        <v>6030</v>
      </c>
      <c r="L4">
        <v>6960</v>
      </c>
      <c r="M4">
        <v>8276</v>
      </c>
      <c r="N4">
        <v>6145</v>
      </c>
      <c r="O4">
        <v>7300</v>
      </c>
      <c r="P4">
        <v>5600</v>
      </c>
      <c r="Q4">
        <v>6365</v>
      </c>
      <c r="R4">
        <v>8945</v>
      </c>
      <c r="T4" t="s">
        <v>131</v>
      </c>
      <c r="U4">
        <v>8580</v>
      </c>
    </row>
    <row r="5" spans="1:22" ht="112">
      <c r="A5" s="63" t="s">
        <v>21</v>
      </c>
      <c r="B5" t="s">
        <v>22</v>
      </c>
      <c r="C5" t="s">
        <v>17</v>
      </c>
      <c r="D5" t="s">
        <v>23</v>
      </c>
      <c r="E5" t="s">
        <v>19</v>
      </c>
      <c r="G5" t="s">
        <v>20</v>
      </c>
      <c r="H5">
        <v>6</v>
      </c>
      <c r="I5">
        <v>6205</v>
      </c>
      <c r="J5">
        <v>5947</v>
      </c>
      <c r="K5">
        <v>7180</v>
      </c>
      <c r="L5">
        <v>7041</v>
      </c>
      <c r="M5">
        <v>7650</v>
      </c>
      <c r="N5">
        <v>5495</v>
      </c>
      <c r="O5">
        <v>7150</v>
      </c>
      <c r="P5">
        <v>5100</v>
      </c>
      <c r="Q5">
        <v>6915</v>
      </c>
      <c r="R5">
        <v>9561</v>
      </c>
      <c r="T5" t="s">
        <v>131</v>
      </c>
      <c r="U5">
        <v>9775</v>
      </c>
    </row>
    <row r="6" spans="1:22" ht="144">
      <c r="A6" t="s">
        <v>24</v>
      </c>
      <c r="B6" s="63" t="s">
        <v>25</v>
      </c>
      <c r="C6" t="s">
        <v>26</v>
      </c>
      <c r="D6" t="s">
        <v>27</v>
      </c>
      <c r="E6" t="s">
        <v>19</v>
      </c>
      <c r="G6" t="s">
        <v>20</v>
      </c>
      <c r="H6">
        <v>10</v>
      </c>
      <c r="I6">
        <v>6780</v>
      </c>
      <c r="J6">
        <v>3720</v>
      </c>
      <c r="K6">
        <v>6080</v>
      </c>
      <c r="N6">
        <v>6065</v>
      </c>
      <c r="O6">
        <v>7750</v>
      </c>
      <c r="P6" t="s">
        <v>119</v>
      </c>
      <c r="T6" t="s">
        <v>132</v>
      </c>
      <c r="U6">
        <v>11115</v>
      </c>
    </row>
    <row r="7" spans="1:22" ht="144">
      <c r="A7" t="s">
        <v>15</v>
      </c>
      <c r="B7" s="63" t="s">
        <v>25</v>
      </c>
      <c r="C7" t="s">
        <v>17</v>
      </c>
      <c r="D7" t="s">
        <v>27</v>
      </c>
      <c r="E7" t="s">
        <v>19</v>
      </c>
      <c r="G7" t="s">
        <v>20</v>
      </c>
      <c r="H7">
        <v>8</v>
      </c>
      <c r="I7">
        <v>7055</v>
      </c>
      <c r="J7">
        <v>4895</v>
      </c>
      <c r="K7">
        <v>6030</v>
      </c>
      <c r="L7">
        <v>7560</v>
      </c>
      <c r="M7">
        <v>8111</v>
      </c>
      <c r="N7">
        <v>6145</v>
      </c>
      <c r="O7">
        <v>7200</v>
      </c>
      <c r="P7">
        <v>5900</v>
      </c>
      <c r="Q7">
        <v>6465</v>
      </c>
      <c r="R7">
        <v>10261</v>
      </c>
      <c r="T7" t="s">
        <v>131</v>
      </c>
      <c r="U7">
        <v>8885</v>
      </c>
    </row>
    <row r="8" spans="1:22" ht="288">
      <c r="A8" s="63" t="s">
        <v>47</v>
      </c>
      <c r="B8" t="s">
        <v>15</v>
      </c>
      <c r="C8" t="s">
        <v>39</v>
      </c>
      <c r="D8" t="s">
        <v>17</v>
      </c>
      <c r="E8" t="s">
        <v>48</v>
      </c>
      <c r="F8" t="s">
        <v>523</v>
      </c>
      <c r="G8" t="s">
        <v>20</v>
      </c>
      <c r="H8">
        <v>15</v>
      </c>
      <c r="I8">
        <v>1715</v>
      </c>
      <c r="J8">
        <v>2053</v>
      </c>
      <c r="K8">
        <v>1650</v>
      </c>
      <c r="N8">
        <v>1850</v>
      </c>
      <c r="O8">
        <v>1790</v>
      </c>
      <c r="P8" t="s">
        <v>119</v>
      </c>
    </row>
    <row r="9" spans="1:22" ht="144">
      <c r="A9" s="63" t="s">
        <v>49</v>
      </c>
      <c r="B9" t="s">
        <v>15</v>
      </c>
      <c r="C9" t="s">
        <v>50</v>
      </c>
      <c r="D9" t="s">
        <v>17</v>
      </c>
      <c r="E9" t="s">
        <v>48</v>
      </c>
      <c r="F9" t="s">
        <v>523</v>
      </c>
      <c r="G9" t="s">
        <v>20</v>
      </c>
      <c r="H9">
        <v>7</v>
      </c>
      <c r="I9">
        <v>1859</v>
      </c>
      <c r="J9">
        <v>1818</v>
      </c>
      <c r="K9">
        <v>1950</v>
      </c>
      <c r="N9">
        <v>1800</v>
      </c>
      <c r="O9">
        <v>1690</v>
      </c>
      <c r="P9" t="s">
        <v>119</v>
      </c>
    </row>
    <row r="10" spans="1:22" ht="192">
      <c r="A10" t="s">
        <v>15</v>
      </c>
      <c r="B10" s="63" t="s">
        <v>30</v>
      </c>
      <c r="C10" t="s">
        <v>17</v>
      </c>
      <c r="D10" t="s">
        <v>31</v>
      </c>
      <c r="E10" t="s">
        <v>48</v>
      </c>
      <c r="F10" t="s">
        <v>523</v>
      </c>
      <c r="G10" t="s">
        <v>20</v>
      </c>
      <c r="H10">
        <v>45</v>
      </c>
      <c r="I10">
        <v>4950</v>
      </c>
      <c r="J10">
        <v>5735</v>
      </c>
      <c r="L10">
        <v>5420</v>
      </c>
      <c r="M10">
        <v>6226</v>
      </c>
      <c r="N10">
        <v>4440</v>
      </c>
      <c r="O10">
        <v>4900</v>
      </c>
      <c r="P10" t="s">
        <v>119</v>
      </c>
      <c r="Q10">
        <v>5915</v>
      </c>
      <c r="T10" t="s">
        <v>129</v>
      </c>
      <c r="U10">
        <v>7340</v>
      </c>
    </row>
    <row r="11" spans="1:22" ht="192">
      <c r="A11" t="s">
        <v>128</v>
      </c>
      <c r="B11" s="63" t="s">
        <v>30</v>
      </c>
      <c r="C11" t="s">
        <v>17</v>
      </c>
      <c r="D11" t="s">
        <v>31</v>
      </c>
      <c r="E11" t="s">
        <v>32</v>
      </c>
      <c r="F11" t="s">
        <v>524</v>
      </c>
      <c r="G11" t="s">
        <v>20</v>
      </c>
      <c r="H11">
        <v>15</v>
      </c>
      <c r="I11">
        <v>7680</v>
      </c>
      <c r="J11">
        <v>6633</v>
      </c>
      <c r="L11">
        <v>6385</v>
      </c>
      <c r="M11">
        <v>7200</v>
      </c>
      <c r="N11">
        <v>5450</v>
      </c>
      <c r="O11">
        <v>6300</v>
      </c>
      <c r="P11" t="s">
        <v>119</v>
      </c>
      <c r="Q11">
        <v>6822</v>
      </c>
      <c r="T11" t="s">
        <v>127</v>
      </c>
      <c r="U11">
        <v>8083</v>
      </c>
    </row>
    <row r="12" spans="1:22" ht="192">
      <c r="A12" t="s">
        <v>33</v>
      </c>
      <c r="B12" s="63" t="s">
        <v>34</v>
      </c>
      <c r="C12" t="s">
        <v>17</v>
      </c>
      <c r="D12" t="s">
        <v>35</v>
      </c>
      <c r="E12" t="s">
        <v>36</v>
      </c>
      <c r="F12" t="s">
        <v>138</v>
      </c>
      <c r="G12" t="s">
        <v>20</v>
      </c>
      <c r="H12">
        <v>3</v>
      </c>
      <c r="I12">
        <v>5110</v>
      </c>
      <c r="J12">
        <v>6108</v>
      </c>
      <c r="M12">
        <v>6026</v>
      </c>
      <c r="N12">
        <v>5560</v>
      </c>
      <c r="O12">
        <v>5700</v>
      </c>
      <c r="P12" t="s">
        <v>119</v>
      </c>
      <c r="Q12">
        <v>5315</v>
      </c>
      <c r="T12" t="s">
        <v>127</v>
      </c>
      <c r="U12">
        <v>7725</v>
      </c>
    </row>
    <row r="13" spans="1:22" ht="272">
      <c r="A13" s="63" t="s">
        <v>126</v>
      </c>
      <c r="B13" s="63" t="s">
        <v>34</v>
      </c>
      <c r="C13" t="s">
        <v>125</v>
      </c>
      <c r="D13" t="s">
        <v>35</v>
      </c>
      <c r="E13" t="s">
        <v>36</v>
      </c>
      <c r="F13" t="s">
        <v>138</v>
      </c>
      <c r="G13" t="s">
        <v>20</v>
      </c>
      <c r="H13">
        <v>1</v>
      </c>
      <c r="I13">
        <v>5330</v>
      </c>
      <c r="J13">
        <v>4540</v>
      </c>
      <c r="N13">
        <v>5500</v>
      </c>
      <c r="O13">
        <v>5700</v>
      </c>
      <c r="P13" t="s">
        <v>119</v>
      </c>
    </row>
    <row r="14" spans="1:22" ht="192">
      <c r="A14" t="s">
        <v>124</v>
      </c>
      <c r="B14" s="63" t="s">
        <v>34</v>
      </c>
      <c r="C14" t="s">
        <v>26</v>
      </c>
      <c r="D14" t="s">
        <v>35</v>
      </c>
      <c r="E14" t="s">
        <v>40</v>
      </c>
      <c r="F14" t="s">
        <v>137</v>
      </c>
      <c r="G14" t="s">
        <v>20</v>
      </c>
      <c r="H14">
        <v>4</v>
      </c>
      <c r="I14">
        <v>5135</v>
      </c>
      <c r="J14">
        <v>6218</v>
      </c>
      <c r="K14">
        <v>6360</v>
      </c>
      <c r="N14">
        <v>8280</v>
      </c>
      <c r="O14">
        <v>6550</v>
      </c>
      <c r="P14" t="s">
        <v>119</v>
      </c>
      <c r="T14" t="s">
        <v>123</v>
      </c>
      <c r="U14">
        <v>6250</v>
      </c>
    </row>
    <row r="15" spans="1:22">
      <c r="A15" t="s">
        <v>37</v>
      </c>
      <c r="B15" t="s">
        <v>38</v>
      </c>
      <c r="C15" t="s">
        <v>17</v>
      </c>
      <c r="D15" t="s">
        <v>39</v>
      </c>
      <c r="E15" t="s">
        <v>40</v>
      </c>
      <c r="F15" t="s">
        <v>137</v>
      </c>
      <c r="G15" t="s">
        <v>20</v>
      </c>
      <c r="H15">
        <v>3</v>
      </c>
      <c r="I15">
        <v>1870</v>
      </c>
      <c r="J15">
        <v>2833</v>
      </c>
      <c r="K15">
        <v>2330</v>
      </c>
      <c r="M15">
        <v>2426</v>
      </c>
      <c r="N15">
        <v>2360</v>
      </c>
      <c r="O15">
        <v>2400</v>
      </c>
      <c r="P15">
        <v>3400</v>
      </c>
      <c r="Q15">
        <v>2190</v>
      </c>
      <c r="T15" t="s">
        <v>121</v>
      </c>
      <c r="U15">
        <v>2010</v>
      </c>
    </row>
    <row r="16" spans="1:22" ht="256">
      <c r="A16" t="s">
        <v>41</v>
      </c>
      <c r="B16" s="63" t="s">
        <v>42</v>
      </c>
      <c r="C16" t="s">
        <v>17</v>
      </c>
      <c r="D16" t="s">
        <v>39</v>
      </c>
      <c r="E16" t="s">
        <v>40</v>
      </c>
      <c r="F16" t="s">
        <v>137</v>
      </c>
      <c r="G16" t="s">
        <v>20</v>
      </c>
      <c r="H16">
        <v>12</v>
      </c>
      <c r="I16">
        <v>1895</v>
      </c>
      <c r="J16">
        <v>2833</v>
      </c>
      <c r="K16">
        <v>2330</v>
      </c>
      <c r="M16">
        <v>2300</v>
      </c>
      <c r="N16">
        <v>2360</v>
      </c>
      <c r="O16">
        <v>2400</v>
      </c>
      <c r="P16">
        <v>3400</v>
      </c>
      <c r="Q16">
        <v>2190</v>
      </c>
      <c r="T16" t="s">
        <v>121</v>
      </c>
      <c r="U16">
        <v>2002</v>
      </c>
    </row>
    <row r="17" spans="1:25">
      <c r="A17" t="s">
        <v>43</v>
      </c>
      <c r="B17" t="s">
        <v>38</v>
      </c>
      <c r="C17" t="s">
        <v>44</v>
      </c>
      <c r="D17" t="s">
        <v>39</v>
      </c>
      <c r="E17" t="s">
        <v>40</v>
      </c>
      <c r="F17" t="s">
        <v>137</v>
      </c>
      <c r="G17" t="s">
        <v>20</v>
      </c>
      <c r="H17">
        <v>3</v>
      </c>
      <c r="I17">
        <v>1870</v>
      </c>
      <c r="J17">
        <v>2908</v>
      </c>
      <c r="K17">
        <v>2350</v>
      </c>
      <c r="M17">
        <v>2550</v>
      </c>
      <c r="N17">
        <v>3550</v>
      </c>
      <c r="O17">
        <v>2800</v>
      </c>
      <c r="P17" t="s">
        <v>119</v>
      </c>
      <c r="Q17">
        <v>2121</v>
      </c>
    </row>
    <row r="18" spans="1:25" ht="256">
      <c r="A18" t="s">
        <v>45</v>
      </c>
      <c r="B18" s="63" t="s">
        <v>42</v>
      </c>
      <c r="C18" t="s">
        <v>46</v>
      </c>
      <c r="D18" t="s">
        <v>39</v>
      </c>
      <c r="E18" t="s">
        <v>40</v>
      </c>
      <c r="F18" t="s">
        <v>137</v>
      </c>
      <c r="G18" t="s">
        <v>20</v>
      </c>
      <c r="H18">
        <v>3</v>
      </c>
      <c r="I18">
        <v>1360</v>
      </c>
      <c r="J18">
        <v>2250</v>
      </c>
      <c r="N18">
        <v>2225</v>
      </c>
      <c r="O18">
        <v>3900</v>
      </c>
      <c r="P18" t="s">
        <v>119</v>
      </c>
    </row>
    <row r="19" spans="1:25">
      <c r="A19" t="s">
        <v>24</v>
      </c>
      <c r="B19" t="s">
        <v>51</v>
      </c>
      <c r="C19" t="s">
        <v>26</v>
      </c>
      <c r="D19" t="s">
        <v>52</v>
      </c>
      <c r="E19" t="s">
        <v>53</v>
      </c>
      <c r="G19" t="s">
        <v>54</v>
      </c>
      <c r="H19">
        <v>3</v>
      </c>
      <c r="I19">
        <v>2788</v>
      </c>
      <c r="J19">
        <v>2860</v>
      </c>
      <c r="K19">
        <v>3430</v>
      </c>
      <c r="N19">
        <v>2480</v>
      </c>
      <c r="O19">
        <v>3550</v>
      </c>
      <c r="P19" t="s">
        <v>119</v>
      </c>
      <c r="T19" t="s">
        <v>131</v>
      </c>
      <c r="U19">
        <v>9250</v>
      </c>
    </row>
    <row r="20" spans="1:25" ht="288">
      <c r="A20" s="63" t="s">
        <v>55</v>
      </c>
      <c r="B20" t="s">
        <v>51</v>
      </c>
      <c r="C20" t="s">
        <v>56</v>
      </c>
      <c r="D20" t="s">
        <v>52</v>
      </c>
      <c r="E20" t="s">
        <v>53</v>
      </c>
      <c r="G20" t="s">
        <v>54</v>
      </c>
      <c r="H20">
        <v>19</v>
      </c>
      <c r="I20">
        <v>2688</v>
      </c>
      <c r="J20">
        <v>2860</v>
      </c>
      <c r="K20">
        <v>3430</v>
      </c>
      <c r="N20">
        <v>2480</v>
      </c>
      <c r="O20">
        <v>3800</v>
      </c>
      <c r="P20" t="s">
        <v>119</v>
      </c>
      <c r="T20" t="s">
        <v>131</v>
      </c>
      <c r="U20">
        <v>4465</v>
      </c>
    </row>
    <row r="21" spans="1:25">
      <c r="A21" t="s">
        <v>15</v>
      </c>
      <c r="B21" t="s">
        <v>51</v>
      </c>
      <c r="C21" t="s">
        <v>17</v>
      </c>
      <c r="D21" t="s">
        <v>52</v>
      </c>
      <c r="E21" t="s">
        <v>53</v>
      </c>
      <c r="G21" t="s">
        <v>54</v>
      </c>
      <c r="H21">
        <v>21</v>
      </c>
      <c r="I21">
        <v>2803</v>
      </c>
      <c r="J21">
        <v>2420</v>
      </c>
      <c r="K21">
        <v>2530</v>
      </c>
      <c r="L21">
        <v>4060</v>
      </c>
      <c r="M21">
        <v>4626</v>
      </c>
      <c r="N21">
        <v>2260</v>
      </c>
      <c r="O21">
        <v>3550</v>
      </c>
      <c r="P21">
        <v>2800</v>
      </c>
      <c r="Q21">
        <v>2266</v>
      </c>
      <c r="T21" t="s">
        <v>131</v>
      </c>
      <c r="U21">
        <v>3815</v>
      </c>
    </row>
    <row r="22" spans="1:25" ht="272">
      <c r="A22" s="63" t="s">
        <v>57</v>
      </c>
      <c r="B22" t="s">
        <v>51</v>
      </c>
      <c r="C22" t="s">
        <v>29</v>
      </c>
      <c r="D22" t="s">
        <v>52</v>
      </c>
      <c r="E22" t="s">
        <v>53</v>
      </c>
      <c r="G22" t="s">
        <v>54</v>
      </c>
      <c r="H22">
        <v>18</v>
      </c>
      <c r="I22">
        <v>3863</v>
      </c>
      <c r="J22">
        <v>3080</v>
      </c>
      <c r="K22">
        <v>4000</v>
      </c>
      <c r="N22">
        <v>3100</v>
      </c>
      <c r="O22">
        <v>5200</v>
      </c>
      <c r="P22" t="s">
        <v>119</v>
      </c>
      <c r="T22" t="s">
        <v>131</v>
      </c>
      <c r="U22">
        <v>4960</v>
      </c>
    </row>
    <row r="23" spans="1:25">
      <c r="A23" t="s">
        <v>58</v>
      </c>
      <c r="B23" t="s">
        <v>51</v>
      </c>
      <c r="C23" t="s">
        <v>59</v>
      </c>
      <c r="D23" t="s">
        <v>52</v>
      </c>
      <c r="E23" t="s">
        <v>53</v>
      </c>
      <c r="G23" t="s">
        <v>54</v>
      </c>
      <c r="H23">
        <v>12</v>
      </c>
      <c r="I23">
        <v>2483</v>
      </c>
      <c r="J23">
        <v>2530</v>
      </c>
      <c r="K23">
        <v>2200</v>
      </c>
      <c r="M23">
        <v>5226</v>
      </c>
      <c r="N23">
        <v>2180</v>
      </c>
      <c r="O23">
        <v>3900</v>
      </c>
      <c r="P23" t="s">
        <v>119</v>
      </c>
      <c r="Q23">
        <v>1921</v>
      </c>
      <c r="T23" t="s">
        <v>131</v>
      </c>
      <c r="U23">
        <v>4255</v>
      </c>
    </row>
    <row r="26" spans="1:25">
      <c r="I26" t="s">
        <v>525</v>
      </c>
    </row>
    <row r="27" spans="1:25">
      <c r="A27" t="s">
        <v>1</v>
      </c>
      <c r="B27" t="s">
        <v>2</v>
      </c>
      <c r="C27" t="s">
        <v>3</v>
      </c>
      <c r="D27" t="s">
        <v>4</v>
      </c>
      <c r="E27" t="s">
        <v>136</v>
      </c>
      <c r="G27" t="s">
        <v>6</v>
      </c>
      <c r="H27" t="s">
        <v>513</v>
      </c>
      <c r="I27" t="s">
        <v>132</v>
      </c>
      <c r="J27" t="s">
        <v>121</v>
      </c>
      <c r="K27" t="s">
        <v>514</v>
      </c>
      <c r="L27" t="s">
        <v>129</v>
      </c>
      <c r="M27" t="s">
        <v>515</v>
      </c>
      <c r="N27" t="s">
        <v>516</v>
      </c>
      <c r="O27" t="s">
        <v>131</v>
      </c>
      <c r="P27" t="s">
        <v>517</v>
      </c>
      <c r="Q27" t="s">
        <v>518</v>
      </c>
      <c r="R27" t="s">
        <v>519</v>
      </c>
      <c r="S27" t="s">
        <v>520</v>
      </c>
      <c r="T27" t="s">
        <v>521</v>
      </c>
      <c r="U27" t="s">
        <v>522</v>
      </c>
      <c r="V27" t="s">
        <v>135</v>
      </c>
      <c r="X27" t="s">
        <v>134</v>
      </c>
      <c r="Y27" t="s">
        <v>133</v>
      </c>
    </row>
    <row r="28" spans="1:25">
      <c r="A28" t="s">
        <v>15</v>
      </c>
      <c r="B28" t="s">
        <v>16</v>
      </c>
      <c r="C28" t="s">
        <v>17</v>
      </c>
      <c r="D28" t="s">
        <v>18</v>
      </c>
      <c r="E28" t="s">
        <v>19</v>
      </c>
      <c r="G28" t="s">
        <v>20</v>
      </c>
      <c r="H28">
        <v>6</v>
      </c>
      <c r="I28">
        <v>3725</v>
      </c>
      <c r="J28">
        <v>4885</v>
      </c>
      <c r="K28">
        <v>2700</v>
      </c>
      <c r="L28">
        <v>3550</v>
      </c>
      <c r="M28">
        <v>4100</v>
      </c>
      <c r="N28">
        <v>2900</v>
      </c>
      <c r="O28">
        <v>4260</v>
      </c>
      <c r="P28">
        <v>2600</v>
      </c>
      <c r="Q28">
        <v>2700</v>
      </c>
      <c r="R28">
        <v>2900</v>
      </c>
      <c r="T28" t="s">
        <v>131</v>
      </c>
      <c r="U28">
        <v>5540</v>
      </c>
      <c r="X28">
        <v>1040.0899999999999</v>
      </c>
      <c r="Y28" t="s">
        <v>130</v>
      </c>
    </row>
    <row r="29" spans="1:25" ht="112">
      <c r="A29" s="63" t="s">
        <v>21</v>
      </c>
      <c r="B29" t="s">
        <v>22</v>
      </c>
      <c r="C29" t="s">
        <v>17</v>
      </c>
      <c r="D29" t="s">
        <v>23</v>
      </c>
      <c r="E29" t="s">
        <v>19</v>
      </c>
      <c r="G29" t="s">
        <v>20</v>
      </c>
      <c r="H29">
        <v>6</v>
      </c>
      <c r="I29">
        <v>4500</v>
      </c>
      <c r="J29">
        <v>4576</v>
      </c>
      <c r="K29">
        <v>4350</v>
      </c>
      <c r="L29">
        <v>5400</v>
      </c>
      <c r="M29">
        <v>5600</v>
      </c>
      <c r="N29">
        <v>4200</v>
      </c>
      <c r="O29">
        <v>5725</v>
      </c>
      <c r="P29">
        <v>3100</v>
      </c>
      <c r="Q29">
        <v>5000</v>
      </c>
      <c r="R29">
        <v>4669</v>
      </c>
      <c r="T29" t="s">
        <v>131</v>
      </c>
      <c r="U29">
        <v>8350</v>
      </c>
      <c r="X29">
        <v>1040.0899999999999</v>
      </c>
      <c r="Y29" t="s">
        <v>130</v>
      </c>
    </row>
    <row r="30" spans="1:25" ht="144">
      <c r="A30" t="s">
        <v>24</v>
      </c>
      <c r="B30" s="63" t="s">
        <v>25</v>
      </c>
      <c r="C30" t="s">
        <v>26</v>
      </c>
      <c r="D30" t="s">
        <v>27</v>
      </c>
      <c r="E30" t="s">
        <v>19</v>
      </c>
      <c r="G30" t="s">
        <v>20</v>
      </c>
      <c r="H30">
        <v>10</v>
      </c>
      <c r="I30">
        <v>3525</v>
      </c>
      <c r="J30">
        <v>2130</v>
      </c>
      <c r="K30">
        <v>2950</v>
      </c>
      <c r="N30">
        <v>2800</v>
      </c>
      <c r="O30">
        <v>4165</v>
      </c>
      <c r="P30" t="s">
        <v>119</v>
      </c>
      <c r="T30" t="s">
        <v>132</v>
      </c>
      <c r="U30">
        <v>7900</v>
      </c>
      <c r="X30">
        <v>1040.0899999999999</v>
      </c>
      <c r="Y30" t="s">
        <v>130</v>
      </c>
    </row>
    <row r="31" spans="1:25" ht="144">
      <c r="A31" t="s">
        <v>15</v>
      </c>
      <c r="B31" s="63" t="s">
        <v>25</v>
      </c>
      <c r="C31" t="s">
        <v>17</v>
      </c>
      <c r="D31" t="s">
        <v>27</v>
      </c>
      <c r="E31" t="s">
        <v>19</v>
      </c>
      <c r="G31" t="s">
        <v>20</v>
      </c>
      <c r="H31">
        <v>8</v>
      </c>
      <c r="I31">
        <v>3525</v>
      </c>
      <c r="J31">
        <v>2970</v>
      </c>
      <c r="K31">
        <v>2700</v>
      </c>
      <c r="L31">
        <v>3700</v>
      </c>
      <c r="M31">
        <v>4100</v>
      </c>
      <c r="N31">
        <v>2800</v>
      </c>
      <c r="O31">
        <v>3750</v>
      </c>
      <c r="P31">
        <v>2400</v>
      </c>
      <c r="Q31">
        <v>2700</v>
      </c>
      <c r="R31">
        <v>2900</v>
      </c>
      <c r="T31" t="s">
        <v>131</v>
      </c>
      <c r="U31">
        <v>5430</v>
      </c>
      <c r="X31">
        <v>1040.0899999999999</v>
      </c>
      <c r="Y31" t="s">
        <v>130</v>
      </c>
    </row>
    <row r="32" spans="1:25" ht="288">
      <c r="A32" s="63" t="s">
        <v>47</v>
      </c>
      <c r="B32" t="s">
        <v>15</v>
      </c>
      <c r="C32" t="s">
        <v>39</v>
      </c>
      <c r="D32" t="s">
        <v>17</v>
      </c>
      <c r="E32" t="s">
        <v>48</v>
      </c>
      <c r="G32" t="s">
        <v>20</v>
      </c>
      <c r="H32">
        <v>15</v>
      </c>
      <c r="I32">
        <v>140</v>
      </c>
      <c r="J32">
        <v>565</v>
      </c>
      <c r="K32">
        <v>100</v>
      </c>
      <c r="N32">
        <v>300</v>
      </c>
      <c r="O32">
        <v>280</v>
      </c>
      <c r="P32" t="s">
        <v>119</v>
      </c>
    </row>
    <row r="33" spans="1:25" ht="144">
      <c r="A33" s="63" t="s">
        <v>49</v>
      </c>
      <c r="B33" t="s">
        <v>15</v>
      </c>
      <c r="C33" t="s">
        <v>50</v>
      </c>
      <c r="D33" t="s">
        <v>17</v>
      </c>
      <c r="E33" t="s">
        <v>48</v>
      </c>
      <c r="G33" t="s">
        <v>20</v>
      </c>
      <c r="H33">
        <v>7</v>
      </c>
      <c r="I33">
        <v>210</v>
      </c>
      <c r="J33">
        <v>100</v>
      </c>
      <c r="K33">
        <v>150</v>
      </c>
      <c r="N33">
        <v>150</v>
      </c>
      <c r="O33">
        <v>330</v>
      </c>
      <c r="P33" t="s">
        <v>119</v>
      </c>
    </row>
    <row r="34" spans="1:25" ht="192">
      <c r="A34" t="s">
        <v>15</v>
      </c>
      <c r="B34" s="63" t="s">
        <v>30</v>
      </c>
      <c r="C34" t="s">
        <v>17</v>
      </c>
      <c r="D34" t="s">
        <v>31</v>
      </c>
      <c r="E34" t="s">
        <v>48</v>
      </c>
      <c r="G34" t="s">
        <v>20</v>
      </c>
      <c r="H34">
        <v>45</v>
      </c>
      <c r="I34">
        <v>3200</v>
      </c>
      <c r="J34">
        <v>3850</v>
      </c>
      <c r="L34">
        <v>3400</v>
      </c>
      <c r="M34">
        <v>4150</v>
      </c>
      <c r="N34">
        <v>2700</v>
      </c>
      <c r="O34">
        <v>3100</v>
      </c>
      <c r="P34" t="s">
        <v>119</v>
      </c>
      <c r="Q34">
        <v>3100</v>
      </c>
      <c r="T34" t="s">
        <v>129</v>
      </c>
      <c r="U34">
        <v>5430</v>
      </c>
      <c r="X34">
        <v>2075.75</v>
      </c>
      <c r="Y34" t="s">
        <v>122</v>
      </c>
    </row>
    <row r="35" spans="1:25" ht="192">
      <c r="A35" t="s">
        <v>128</v>
      </c>
      <c r="B35" s="63" t="s">
        <v>30</v>
      </c>
      <c r="C35" t="s">
        <v>17</v>
      </c>
      <c r="D35" t="s">
        <v>31</v>
      </c>
      <c r="E35" t="s">
        <v>32</v>
      </c>
      <c r="G35" t="s">
        <v>20</v>
      </c>
      <c r="H35">
        <v>15</v>
      </c>
      <c r="I35">
        <v>3200</v>
      </c>
      <c r="J35">
        <v>4950</v>
      </c>
      <c r="L35">
        <v>4475</v>
      </c>
      <c r="M35">
        <v>4150</v>
      </c>
      <c r="N35">
        <v>3700</v>
      </c>
      <c r="O35">
        <v>4550</v>
      </c>
      <c r="P35" t="s">
        <v>119</v>
      </c>
      <c r="Q35">
        <v>4200</v>
      </c>
      <c r="T35" t="s">
        <v>127</v>
      </c>
      <c r="X35">
        <v>2076.75</v>
      </c>
      <c r="Y35" t="s">
        <v>122</v>
      </c>
    </row>
    <row r="36" spans="1:25" ht="192">
      <c r="A36" t="s">
        <v>33</v>
      </c>
      <c r="B36" s="63" t="s">
        <v>34</v>
      </c>
      <c r="C36" t="s">
        <v>17</v>
      </c>
      <c r="D36" t="s">
        <v>35</v>
      </c>
      <c r="E36" t="s">
        <v>36</v>
      </c>
      <c r="G36" t="s">
        <v>20</v>
      </c>
      <c r="H36">
        <v>3</v>
      </c>
      <c r="I36">
        <v>2290</v>
      </c>
      <c r="J36">
        <v>3705</v>
      </c>
      <c r="M36">
        <v>4200</v>
      </c>
      <c r="N36">
        <v>3100</v>
      </c>
      <c r="O36">
        <v>3325</v>
      </c>
      <c r="P36" t="s">
        <v>119</v>
      </c>
      <c r="Q36">
        <v>2400</v>
      </c>
      <c r="T36" t="s">
        <v>127</v>
      </c>
      <c r="X36">
        <v>2077.75</v>
      </c>
      <c r="Y36" t="s">
        <v>122</v>
      </c>
    </row>
    <row r="37" spans="1:25" ht="272">
      <c r="A37" s="63" t="s">
        <v>126</v>
      </c>
      <c r="B37" s="63" t="s">
        <v>34</v>
      </c>
      <c r="C37" t="s">
        <v>125</v>
      </c>
      <c r="D37" t="s">
        <v>35</v>
      </c>
      <c r="E37" t="s">
        <v>36</v>
      </c>
      <c r="G37" t="s">
        <v>20</v>
      </c>
      <c r="H37">
        <v>1</v>
      </c>
      <c r="I37">
        <v>1950</v>
      </c>
      <c r="J37">
        <v>2200</v>
      </c>
      <c r="N37">
        <v>2900</v>
      </c>
      <c r="O37">
        <v>2510</v>
      </c>
      <c r="P37" t="s">
        <v>119</v>
      </c>
      <c r="X37">
        <v>2078.75</v>
      </c>
      <c r="Y37" t="s">
        <v>122</v>
      </c>
    </row>
    <row r="38" spans="1:25" ht="192">
      <c r="A38" t="s">
        <v>124</v>
      </c>
      <c r="B38" s="63" t="s">
        <v>34</v>
      </c>
      <c r="C38" t="s">
        <v>26</v>
      </c>
      <c r="D38" t="s">
        <v>35</v>
      </c>
      <c r="E38" t="s">
        <v>40</v>
      </c>
      <c r="G38" t="s">
        <v>20</v>
      </c>
      <c r="H38">
        <v>4</v>
      </c>
      <c r="I38">
        <v>2590</v>
      </c>
      <c r="J38">
        <v>4150</v>
      </c>
      <c r="K38">
        <v>3700</v>
      </c>
      <c r="N38">
        <v>5900</v>
      </c>
      <c r="O38">
        <v>4000</v>
      </c>
      <c r="P38" t="s">
        <v>119</v>
      </c>
      <c r="T38" t="s">
        <v>123</v>
      </c>
      <c r="X38">
        <v>2079.75</v>
      </c>
      <c r="Y38" t="s">
        <v>122</v>
      </c>
    </row>
    <row r="39" spans="1:25">
      <c r="A39" t="s">
        <v>37</v>
      </c>
      <c r="B39" t="s">
        <v>38</v>
      </c>
      <c r="C39" t="s">
        <v>17</v>
      </c>
      <c r="D39" t="s">
        <v>39</v>
      </c>
      <c r="E39" t="s">
        <v>40</v>
      </c>
      <c r="G39" t="s">
        <v>20</v>
      </c>
      <c r="H39">
        <v>3</v>
      </c>
      <c r="I39">
        <v>800</v>
      </c>
      <c r="J39">
        <v>1683</v>
      </c>
      <c r="K39">
        <v>800</v>
      </c>
      <c r="M39">
        <v>900</v>
      </c>
      <c r="N39">
        <v>850</v>
      </c>
      <c r="O39">
        <v>1230</v>
      </c>
      <c r="P39">
        <v>1100</v>
      </c>
      <c r="Q39">
        <v>850</v>
      </c>
      <c r="T39" t="s">
        <v>121</v>
      </c>
      <c r="U39">
        <v>1600</v>
      </c>
      <c r="X39">
        <v>961.96</v>
      </c>
      <c r="Y39" t="s">
        <v>120</v>
      </c>
    </row>
    <row r="40" spans="1:25" ht="256">
      <c r="A40" t="s">
        <v>41</v>
      </c>
      <c r="B40" s="63" t="s">
        <v>42</v>
      </c>
      <c r="C40" t="s">
        <v>17</v>
      </c>
      <c r="D40" t="s">
        <v>39</v>
      </c>
      <c r="E40" t="s">
        <v>40</v>
      </c>
      <c r="G40" t="s">
        <v>20</v>
      </c>
      <c r="H40">
        <v>12</v>
      </c>
      <c r="I40">
        <v>800</v>
      </c>
      <c r="J40">
        <v>1683</v>
      </c>
      <c r="K40">
        <v>800</v>
      </c>
      <c r="M40">
        <v>900</v>
      </c>
      <c r="N40">
        <v>850</v>
      </c>
      <c r="O40">
        <v>1210</v>
      </c>
      <c r="P40">
        <v>1100</v>
      </c>
      <c r="Q40">
        <v>850</v>
      </c>
      <c r="T40" t="s">
        <v>121</v>
      </c>
      <c r="U40">
        <v>1600</v>
      </c>
      <c r="X40">
        <v>961.96</v>
      </c>
      <c r="Y40" t="s">
        <v>120</v>
      </c>
    </row>
    <row r="41" spans="1:25">
      <c r="A41" t="s">
        <v>43</v>
      </c>
      <c r="B41" t="s">
        <v>38</v>
      </c>
      <c r="C41" t="s">
        <v>44</v>
      </c>
      <c r="D41" t="s">
        <v>39</v>
      </c>
      <c r="E41" t="s">
        <v>40</v>
      </c>
      <c r="G41" t="s">
        <v>20</v>
      </c>
      <c r="H41">
        <v>3</v>
      </c>
      <c r="I41">
        <v>800</v>
      </c>
      <c r="J41">
        <v>1683</v>
      </c>
      <c r="K41">
        <v>1100</v>
      </c>
      <c r="M41">
        <v>900</v>
      </c>
      <c r="N41">
        <v>950</v>
      </c>
      <c r="O41">
        <v>1430</v>
      </c>
      <c r="P41" t="s">
        <v>119</v>
      </c>
      <c r="Q41">
        <v>850</v>
      </c>
      <c r="X41">
        <v>961.96</v>
      </c>
      <c r="Y41" t="s">
        <v>120</v>
      </c>
    </row>
    <row r="42" spans="1:25" ht="256">
      <c r="A42" t="s">
        <v>45</v>
      </c>
      <c r="B42" s="63" t="s">
        <v>42</v>
      </c>
      <c r="C42" t="s">
        <v>46</v>
      </c>
      <c r="D42" t="s">
        <v>39</v>
      </c>
      <c r="E42" t="s">
        <v>40</v>
      </c>
      <c r="G42" t="s">
        <v>20</v>
      </c>
      <c r="H42">
        <v>3</v>
      </c>
      <c r="I42">
        <v>180</v>
      </c>
      <c r="J42">
        <v>350</v>
      </c>
      <c r="N42">
        <v>450</v>
      </c>
      <c r="O42">
        <v>1900</v>
      </c>
      <c r="P42" t="s">
        <v>119</v>
      </c>
    </row>
    <row r="43" spans="1:25">
      <c r="A43" t="s">
        <v>24</v>
      </c>
      <c r="B43" t="s">
        <v>51</v>
      </c>
      <c r="C43" t="s">
        <v>26</v>
      </c>
      <c r="D43" t="s">
        <v>52</v>
      </c>
      <c r="E43" t="s">
        <v>53</v>
      </c>
      <c r="G43" t="s">
        <v>54</v>
      </c>
      <c r="H43">
        <v>3</v>
      </c>
      <c r="I43">
        <v>2000</v>
      </c>
      <c r="J43">
        <v>2860</v>
      </c>
      <c r="K43">
        <v>2750</v>
      </c>
      <c r="N43">
        <v>1800</v>
      </c>
      <c r="O43">
        <v>2465</v>
      </c>
      <c r="P43" t="s">
        <v>119</v>
      </c>
      <c r="T43" t="s">
        <v>131</v>
      </c>
      <c r="U43">
        <v>3650</v>
      </c>
      <c r="X43">
        <v>742.4</v>
      </c>
      <c r="Y43" t="s">
        <v>118</v>
      </c>
    </row>
    <row r="44" spans="1:25" ht="288">
      <c r="A44" s="63" t="s">
        <v>55</v>
      </c>
      <c r="B44" t="s">
        <v>51</v>
      </c>
      <c r="C44" t="s">
        <v>56</v>
      </c>
      <c r="D44" t="s">
        <v>52</v>
      </c>
      <c r="E44" t="s">
        <v>53</v>
      </c>
      <c r="G44" t="s">
        <v>54</v>
      </c>
      <c r="H44">
        <v>19</v>
      </c>
      <c r="I44">
        <v>1900</v>
      </c>
      <c r="J44">
        <v>2860</v>
      </c>
      <c r="K44">
        <v>2750</v>
      </c>
      <c r="N44">
        <v>1800</v>
      </c>
      <c r="O44">
        <v>2685</v>
      </c>
      <c r="P44" t="s">
        <v>119</v>
      </c>
      <c r="T44" t="s">
        <v>131</v>
      </c>
      <c r="U44">
        <v>3650</v>
      </c>
      <c r="X44">
        <v>742.4</v>
      </c>
      <c r="Y44" t="s">
        <v>118</v>
      </c>
    </row>
    <row r="45" spans="1:25">
      <c r="A45" t="s">
        <v>15</v>
      </c>
      <c r="B45" t="s">
        <v>51</v>
      </c>
      <c r="C45" t="s">
        <v>17</v>
      </c>
      <c r="D45" t="s">
        <v>52</v>
      </c>
      <c r="E45" t="s">
        <v>53</v>
      </c>
      <c r="G45" t="s">
        <v>54</v>
      </c>
      <c r="H45">
        <v>21</v>
      </c>
      <c r="I45">
        <v>1700</v>
      </c>
      <c r="J45">
        <v>2420</v>
      </c>
      <c r="K45">
        <v>1650</v>
      </c>
      <c r="L45">
        <v>3200</v>
      </c>
      <c r="M45">
        <v>2500</v>
      </c>
      <c r="N45">
        <v>1500</v>
      </c>
      <c r="O45">
        <v>2750</v>
      </c>
      <c r="P45">
        <v>1900</v>
      </c>
      <c r="Q45">
        <v>1300</v>
      </c>
      <c r="T45" t="s">
        <v>131</v>
      </c>
      <c r="U45">
        <v>3110</v>
      </c>
      <c r="X45">
        <v>742.4</v>
      </c>
      <c r="Y45" t="s">
        <v>118</v>
      </c>
    </row>
    <row r="46" spans="1:25" ht="272">
      <c r="A46" s="63" t="s">
        <v>57</v>
      </c>
      <c r="B46" t="s">
        <v>51</v>
      </c>
      <c r="C46" t="s">
        <v>29</v>
      </c>
      <c r="D46" t="s">
        <v>52</v>
      </c>
      <c r="E46" t="s">
        <v>53</v>
      </c>
      <c r="G46" t="s">
        <v>54</v>
      </c>
      <c r="H46">
        <v>18</v>
      </c>
      <c r="I46">
        <v>2200</v>
      </c>
      <c r="J46">
        <v>3080</v>
      </c>
      <c r="K46">
        <v>2650</v>
      </c>
      <c r="N46">
        <v>2200</v>
      </c>
      <c r="O46">
        <v>3550</v>
      </c>
      <c r="P46" t="s">
        <v>119</v>
      </c>
      <c r="T46" t="s">
        <v>131</v>
      </c>
      <c r="U46">
        <v>3650</v>
      </c>
      <c r="X46">
        <v>742.4</v>
      </c>
      <c r="Y46" t="s">
        <v>118</v>
      </c>
    </row>
    <row r="47" spans="1:25">
      <c r="A47" t="s">
        <v>58</v>
      </c>
      <c r="B47" t="s">
        <v>51</v>
      </c>
      <c r="C47" t="s">
        <v>59</v>
      </c>
      <c r="D47" t="s">
        <v>52</v>
      </c>
      <c r="E47" t="s">
        <v>53</v>
      </c>
      <c r="G47" t="s">
        <v>54</v>
      </c>
      <c r="H47">
        <v>12</v>
      </c>
      <c r="I47">
        <v>1700</v>
      </c>
      <c r="J47">
        <v>2530</v>
      </c>
      <c r="K47">
        <v>1650</v>
      </c>
      <c r="M47">
        <v>3000</v>
      </c>
      <c r="N47">
        <v>1650</v>
      </c>
      <c r="O47">
        <v>3330</v>
      </c>
      <c r="P47" t="s">
        <v>119</v>
      </c>
      <c r="Q47">
        <v>1300</v>
      </c>
      <c r="T47" t="s">
        <v>131</v>
      </c>
      <c r="U47">
        <v>3685</v>
      </c>
      <c r="X47">
        <v>742.4</v>
      </c>
      <c r="Y47" t="s">
        <v>118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区域1_1_4" rangeCreator="" othersAccessPermission="edit"/>
    <arrUserId title="区域1_1_2_2" rangeCreator="" othersAccessPermission="edit"/>
    <arrUserId title="区域1_1_3_2" rangeCreator="" othersAccessPermission="edit"/>
    <arrUserId title="区域1_2" rangeCreator="" othersAccessPermission="edit"/>
    <arrUserId title="区域1_4" rangeCreator="" othersAccessPermission="edit"/>
    <arrUserId title="区域1_1_1_1" rangeCreator="" othersAccessPermission="edit"/>
    <arrUserId title="区域1_1_6"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24</vt:i4>
      </vt:variant>
    </vt:vector>
  </HeadingPairs>
  <TitlesOfParts>
    <vt:vector size="24" baseType="lpstr">
      <vt:lpstr>25.Q2</vt:lpstr>
      <vt:lpstr>25.7-8月</vt:lpstr>
      <vt:lpstr>25.9月</vt:lpstr>
      <vt:lpstr>25.10月</vt:lpstr>
      <vt:lpstr>25.11月</vt:lpstr>
      <vt:lpstr>25.12月</vt:lpstr>
      <vt:lpstr>26.1月</vt:lpstr>
      <vt:lpstr>26.2月</vt:lpstr>
      <vt:lpstr>26.3月</vt:lpstr>
      <vt:lpstr>26.3.30-4.12</vt:lpstr>
      <vt:lpstr>26.4.13-4.26</vt:lpstr>
      <vt:lpstr>26.5月</vt:lpstr>
      <vt:lpstr>26.6月</vt:lpstr>
      <vt:lpstr>招标需求</vt:lpstr>
      <vt:lpstr>_Backup_5月</vt:lpstr>
      <vt:lpstr>_Backup_6月</vt:lpstr>
      <vt:lpstr>_Backup_1月</vt:lpstr>
      <vt:lpstr>_Backup_2月</vt:lpstr>
      <vt:lpstr>_Backup_3月</vt:lpstr>
      <vt:lpstr>_Backup_9月</vt:lpstr>
      <vt:lpstr>_Backup_10月</vt:lpstr>
      <vt:lpstr>_Backup_7-8月</vt:lpstr>
      <vt:lpstr>环比分析</vt:lpstr>
      <vt:lpstr>_Backup_Q2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Zheng, Zhengqing Kevin</dc:creator>
  <cp:lastModifiedBy>YU, Boren</cp:lastModifiedBy>
  <dcterms:created xsi:type="dcterms:W3CDTF">2015-06-05T18:19:00Z</dcterms:created>
  <dcterms:modified xsi:type="dcterms:W3CDTF">2026-06-02T07:30:17Z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2024-12-16T07:52:28Z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a867af2e-542e-4dfe-9920-2720be1ee082</vt:lpwstr>
  </property>
  <property fmtid="{D5CDD505-2E9C-101B-9397-08002B2CF9AE}" pid="7" name="MSIP_Label_defa4170-0d19-0005-0004-bc88714345d2_ActionId">
    <vt:lpwstr>55f9ffe1-3901-49bb-9952-fc6cddea37a0</vt:lpwstr>
  </property>
  <property fmtid="{D5CDD505-2E9C-101B-9397-08002B2CF9AE}" pid="8" name="MSIP_Label_defa4170-0d19-0005-0004-bc88714345d2_ContentBits">
    <vt:lpwstr>0</vt:lpwstr>
  </property>
  <property fmtid="{D5CDD505-2E9C-101B-9397-08002B2CF9AE}" pid="9" name="ICV">
    <vt:lpwstr>5644421C798F4D209A842A9E162005C6_12</vt:lpwstr>
  </property>
  <property fmtid="{D5CDD505-2E9C-101B-9397-08002B2CF9AE}" pid="10" name="KSOProductBuildVer">
    <vt:lpwstr>2052-12.1.0.21171</vt:lpwstr>
  </property>
</Properties>
</file>